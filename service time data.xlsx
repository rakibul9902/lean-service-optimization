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17a92e959398dfb4/Desktop/"/>
    </mc:Choice>
  </mc:AlternateContent>
  <xr:revisionPtr revIDLastSave="767" documentId="11_F25DC773A252ABDACC10483D595F7CD45BDE58E8" xr6:coauthVersionLast="47" xr6:coauthVersionMax="47" xr10:uidLastSave="{A17CE82F-BFB6-4116-85DA-B258B50C8393}"/>
  <bookViews>
    <workbookView xWindow="-120" yWindow="-120" windowWidth="29040" windowHeight="15840" firstSheet="3" activeTab="13" xr2:uid="{00000000-000D-0000-FFFF-FFFF00000000}"/>
  </bookViews>
  <sheets>
    <sheet name="Sheet1" sheetId="1" r:id="rId1"/>
    <sheet name="inter arrival time" sheetId="14" r:id="rId2"/>
    <sheet name="Service Time" sheetId="9" r:id="rId3"/>
    <sheet name="Total Process Time" sheetId="10" r:id="rId4"/>
    <sheet name="Sheet4" sheetId="12" r:id="rId5"/>
    <sheet name="USA" sheetId="8" r:id="rId6"/>
    <sheet name="Korea" sheetId="7" r:id="rId7"/>
    <sheet name="Japan" sheetId="6" r:id="rId8"/>
    <sheet name="Germany" sheetId="5" r:id="rId9"/>
    <sheet name="Sedan" sheetId="2" r:id="rId10"/>
    <sheet name="SUV" sheetId="3" r:id="rId11"/>
    <sheet name="Trucks" sheetId="4" r:id="rId12"/>
    <sheet name="BAY Time" sheetId="11" r:id="rId13"/>
    <sheet name="NON Value Added" sheetId="13" r:id="rId14"/>
  </sheets>
  <definedNames>
    <definedName name="_xlnm._FilterDatabase" localSheetId="0" hidden="1">Sheet1!$A$1:$Z$206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4" l="1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158" i="14"/>
  <c r="E159" i="14"/>
  <c r="E160" i="14"/>
  <c r="E161" i="14"/>
  <c r="E162" i="14"/>
  <c r="E163" i="14"/>
  <c r="E164" i="14"/>
  <c r="E165" i="14"/>
  <c r="E166" i="14"/>
  <c r="E167" i="14"/>
  <c r="E168" i="14"/>
  <c r="E169" i="14"/>
  <c r="E170" i="14"/>
  <c r="E171" i="14"/>
  <c r="E172" i="14"/>
  <c r="E173" i="14"/>
  <c r="E174" i="14"/>
  <c r="E175" i="14"/>
  <c r="E176" i="14"/>
  <c r="E177" i="14"/>
  <c r="E178" i="14"/>
  <c r="E179" i="14"/>
  <c r="E180" i="14"/>
  <c r="E181" i="14"/>
  <c r="E182" i="14"/>
  <c r="E183" i="14"/>
  <c r="E184" i="14"/>
  <c r="E185" i="14"/>
  <c r="E186" i="14"/>
  <c r="E187" i="14"/>
  <c r="E188" i="14"/>
  <c r="E189" i="14"/>
  <c r="E190" i="14"/>
  <c r="E191" i="14"/>
  <c r="E192" i="14"/>
  <c r="E193" i="14"/>
  <c r="E194" i="14"/>
  <c r="E195" i="14"/>
  <c r="E196" i="14"/>
  <c r="E197" i="14"/>
  <c r="E198" i="14"/>
  <c r="E199" i="14"/>
  <c r="E200" i="14"/>
  <c r="E201" i="14"/>
  <c r="E202" i="14"/>
  <c r="E203" i="14"/>
  <c r="E204" i="14"/>
  <c r="E205" i="14"/>
  <c r="E206" i="14"/>
  <c r="E2" i="14"/>
  <c r="C2" i="9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" i="1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" i="10"/>
  <c r="Z24" i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" i="11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" i="13"/>
  <c r="G3" i="13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" i="13"/>
  <c r="Z9" i="1"/>
  <c r="Y5" i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W174" i="1"/>
  <c r="U174" i="1"/>
  <c r="W149" i="1"/>
  <c r="V107" i="1"/>
  <c r="W57" i="1"/>
  <c r="T3" i="1"/>
  <c r="U3" i="1"/>
  <c r="V3" i="1"/>
  <c r="W3" i="1"/>
  <c r="X3" i="1"/>
  <c r="Y3" i="1"/>
  <c r="Z3" i="1"/>
  <c r="T4" i="1"/>
  <c r="U4" i="1"/>
  <c r="V4" i="1"/>
  <c r="W4" i="1"/>
  <c r="X4" i="1"/>
  <c r="Y4" i="1"/>
  <c r="Z4" i="1"/>
  <c r="T5" i="1"/>
  <c r="U5" i="1"/>
  <c r="V5" i="1"/>
  <c r="W5" i="1"/>
  <c r="X5" i="1"/>
  <c r="Z5" i="1"/>
  <c r="T6" i="1"/>
  <c r="U6" i="1"/>
  <c r="V6" i="1"/>
  <c r="W6" i="1"/>
  <c r="X6" i="1"/>
  <c r="Y6" i="1"/>
  <c r="Z6" i="1"/>
  <c r="T7" i="1"/>
  <c r="U7" i="1"/>
  <c r="V7" i="1"/>
  <c r="W7" i="1"/>
  <c r="X7" i="1"/>
  <c r="Y7" i="1"/>
  <c r="Z7" i="1"/>
  <c r="T8" i="1"/>
  <c r="U8" i="1"/>
  <c r="V8" i="1"/>
  <c r="W8" i="1"/>
  <c r="X8" i="1"/>
  <c r="Y8" i="1"/>
  <c r="Z8" i="1"/>
  <c r="T9" i="1"/>
  <c r="U9" i="1"/>
  <c r="V9" i="1"/>
  <c r="W9" i="1"/>
  <c r="X9" i="1"/>
  <c r="Y9" i="1"/>
  <c r="T10" i="1"/>
  <c r="U10" i="1"/>
  <c r="V10" i="1"/>
  <c r="W10" i="1"/>
  <c r="X10" i="1"/>
  <c r="Y10" i="1"/>
  <c r="Z10" i="1"/>
  <c r="T11" i="1"/>
  <c r="U11" i="1"/>
  <c r="V11" i="1"/>
  <c r="W11" i="1"/>
  <c r="X11" i="1"/>
  <c r="Y11" i="1"/>
  <c r="Z11" i="1"/>
  <c r="T12" i="1"/>
  <c r="U12" i="1"/>
  <c r="V12" i="1"/>
  <c r="W12" i="1"/>
  <c r="X12" i="1"/>
  <c r="Y12" i="1"/>
  <c r="Z12" i="1"/>
  <c r="T13" i="1"/>
  <c r="U13" i="1"/>
  <c r="V13" i="1"/>
  <c r="W13" i="1"/>
  <c r="X13" i="1"/>
  <c r="Y13" i="1"/>
  <c r="Z13" i="1"/>
  <c r="T14" i="1"/>
  <c r="U14" i="1"/>
  <c r="V14" i="1"/>
  <c r="W14" i="1"/>
  <c r="X14" i="1"/>
  <c r="Y14" i="1"/>
  <c r="Z14" i="1"/>
  <c r="T15" i="1"/>
  <c r="U15" i="1"/>
  <c r="V15" i="1"/>
  <c r="W15" i="1"/>
  <c r="X15" i="1"/>
  <c r="Y15" i="1"/>
  <c r="Z15" i="1"/>
  <c r="T16" i="1"/>
  <c r="U16" i="1"/>
  <c r="V16" i="1"/>
  <c r="W16" i="1"/>
  <c r="X16" i="1"/>
  <c r="Y16" i="1"/>
  <c r="Z16" i="1"/>
  <c r="T17" i="1"/>
  <c r="U17" i="1"/>
  <c r="V17" i="1"/>
  <c r="W17" i="1"/>
  <c r="X17" i="1"/>
  <c r="Y17" i="1"/>
  <c r="Z17" i="1"/>
  <c r="T18" i="1"/>
  <c r="U18" i="1"/>
  <c r="V18" i="1"/>
  <c r="W18" i="1"/>
  <c r="X18" i="1"/>
  <c r="Y18" i="1"/>
  <c r="Z18" i="1"/>
  <c r="T19" i="1"/>
  <c r="U19" i="1"/>
  <c r="V19" i="1"/>
  <c r="W19" i="1"/>
  <c r="X19" i="1"/>
  <c r="Y19" i="1"/>
  <c r="Z19" i="1"/>
  <c r="T20" i="1"/>
  <c r="U20" i="1"/>
  <c r="V20" i="1"/>
  <c r="W20" i="1"/>
  <c r="X20" i="1"/>
  <c r="Y20" i="1"/>
  <c r="Z20" i="1"/>
  <c r="T21" i="1"/>
  <c r="U21" i="1"/>
  <c r="V21" i="1"/>
  <c r="W21" i="1"/>
  <c r="X21" i="1"/>
  <c r="Y21" i="1"/>
  <c r="Z21" i="1"/>
  <c r="T22" i="1"/>
  <c r="U22" i="1"/>
  <c r="V22" i="1"/>
  <c r="W22" i="1"/>
  <c r="X22" i="1"/>
  <c r="Y22" i="1"/>
  <c r="Z22" i="1"/>
  <c r="T23" i="1"/>
  <c r="U23" i="1"/>
  <c r="V23" i="1"/>
  <c r="W23" i="1"/>
  <c r="X23" i="1"/>
  <c r="Y23" i="1"/>
  <c r="Z23" i="1"/>
  <c r="T24" i="1"/>
  <c r="U24" i="1"/>
  <c r="V24" i="1"/>
  <c r="W24" i="1"/>
  <c r="X24" i="1"/>
  <c r="Y24" i="1"/>
  <c r="T25" i="1"/>
  <c r="U25" i="1"/>
  <c r="V25" i="1"/>
  <c r="W25" i="1"/>
  <c r="X25" i="1"/>
  <c r="Y25" i="1"/>
  <c r="Z25" i="1"/>
  <c r="T26" i="1"/>
  <c r="U26" i="1"/>
  <c r="V26" i="1"/>
  <c r="W26" i="1"/>
  <c r="X26" i="1"/>
  <c r="Y26" i="1"/>
  <c r="Z26" i="1"/>
  <c r="T27" i="1"/>
  <c r="U27" i="1"/>
  <c r="V27" i="1"/>
  <c r="W27" i="1"/>
  <c r="X27" i="1"/>
  <c r="Y27" i="1"/>
  <c r="Z27" i="1"/>
  <c r="T28" i="1"/>
  <c r="U28" i="1"/>
  <c r="V28" i="1"/>
  <c r="W28" i="1"/>
  <c r="X28" i="1"/>
  <c r="Y28" i="1"/>
  <c r="Z28" i="1"/>
  <c r="T29" i="1"/>
  <c r="U29" i="1"/>
  <c r="V29" i="1"/>
  <c r="W29" i="1"/>
  <c r="X29" i="1"/>
  <c r="Y29" i="1"/>
  <c r="Z29" i="1"/>
  <c r="T30" i="1"/>
  <c r="U30" i="1"/>
  <c r="V30" i="1"/>
  <c r="W30" i="1"/>
  <c r="X30" i="1"/>
  <c r="Y30" i="1"/>
  <c r="Z30" i="1"/>
  <c r="T31" i="1"/>
  <c r="U31" i="1"/>
  <c r="V31" i="1"/>
  <c r="W31" i="1"/>
  <c r="X31" i="1"/>
  <c r="Y31" i="1"/>
  <c r="Z31" i="1"/>
  <c r="T32" i="1"/>
  <c r="U32" i="1"/>
  <c r="V32" i="1"/>
  <c r="W32" i="1"/>
  <c r="X32" i="1"/>
  <c r="Y32" i="1"/>
  <c r="Z32" i="1"/>
  <c r="T33" i="1"/>
  <c r="U33" i="1"/>
  <c r="V33" i="1"/>
  <c r="W33" i="1"/>
  <c r="X33" i="1"/>
  <c r="Y33" i="1"/>
  <c r="Z33" i="1"/>
  <c r="T34" i="1"/>
  <c r="U34" i="1"/>
  <c r="V34" i="1"/>
  <c r="W34" i="1"/>
  <c r="X34" i="1"/>
  <c r="Y34" i="1"/>
  <c r="Z34" i="1"/>
  <c r="T35" i="1"/>
  <c r="U35" i="1"/>
  <c r="V35" i="1"/>
  <c r="W35" i="1"/>
  <c r="X35" i="1"/>
  <c r="Y35" i="1"/>
  <c r="Z35" i="1"/>
  <c r="T36" i="1"/>
  <c r="U36" i="1"/>
  <c r="V36" i="1"/>
  <c r="W36" i="1"/>
  <c r="X36" i="1"/>
  <c r="Y36" i="1"/>
  <c r="Z36" i="1"/>
  <c r="T37" i="1"/>
  <c r="U37" i="1"/>
  <c r="V37" i="1"/>
  <c r="W37" i="1"/>
  <c r="X37" i="1"/>
  <c r="Y37" i="1"/>
  <c r="Z37" i="1"/>
  <c r="T38" i="1"/>
  <c r="U38" i="1"/>
  <c r="V38" i="1"/>
  <c r="W38" i="1"/>
  <c r="X38" i="1"/>
  <c r="Y38" i="1"/>
  <c r="Z38" i="1"/>
  <c r="T39" i="1"/>
  <c r="U39" i="1"/>
  <c r="V39" i="1"/>
  <c r="W39" i="1"/>
  <c r="X39" i="1"/>
  <c r="Y39" i="1"/>
  <c r="Z39" i="1"/>
  <c r="T40" i="1"/>
  <c r="U40" i="1"/>
  <c r="V40" i="1"/>
  <c r="W40" i="1"/>
  <c r="X40" i="1"/>
  <c r="Y40" i="1"/>
  <c r="Z40" i="1"/>
  <c r="T41" i="1"/>
  <c r="U41" i="1"/>
  <c r="V41" i="1"/>
  <c r="W41" i="1"/>
  <c r="X41" i="1"/>
  <c r="Y41" i="1"/>
  <c r="Z41" i="1"/>
  <c r="T42" i="1"/>
  <c r="U42" i="1"/>
  <c r="V42" i="1"/>
  <c r="W42" i="1"/>
  <c r="X42" i="1"/>
  <c r="Y42" i="1"/>
  <c r="Z42" i="1"/>
  <c r="T43" i="1"/>
  <c r="U43" i="1"/>
  <c r="V43" i="1"/>
  <c r="W43" i="1"/>
  <c r="X43" i="1"/>
  <c r="Y43" i="1"/>
  <c r="Z43" i="1"/>
  <c r="T44" i="1"/>
  <c r="U44" i="1"/>
  <c r="V44" i="1"/>
  <c r="W44" i="1"/>
  <c r="X44" i="1"/>
  <c r="Y44" i="1"/>
  <c r="Z44" i="1"/>
  <c r="T45" i="1"/>
  <c r="U45" i="1"/>
  <c r="V45" i="1"/>
  <c r="W45" i="1"/>
  <c r="X45" i="1"/>
  <c r="Y45" i="1"/>
  <c r="Z45" i="1"/>
  <c r="T46" i="1"/>
  <c r="U46" i="1"/>
  <c r="V46" i="1"/>
  <c r="W46" i="1"/>
  <c r="X46" i="1"/>
  <c r="Y46" i="1"/>
  <c r="Z46" i="1"/>
  <c r="T47" i="1"/>
  <c r="U47" i="1"/>
  <c r="V47" i="1"/>
  <c r="W47" i="1"/>
  <c r="X47" i="1"/>
  <c r="Y47" i="1"/>
  <c r="Z47" i="1"/>
  <c r="T48" i="1"/>
  <c r="U48" i="1"/>
  <c r="V48" i="1"/>
  <c r="W48" i="1"/>
  <c r="X48" i="1"/>
  <c r="Y48" i="1"/>
  <c r="Z48" i="1"/>
  <c r="T49" i="1"/>
  <c r="U49" i="1"/>
  <c r="V49" i="1"/>
  <c r="W49" i="1"/>
  <c r="X49" i="1"/>
  <c r="Y49" i="1"/>
  <c r="Z49" i="1"/>
  <c r="T50" i="1"/>
  <c r="U50" i="1"/>
  <c r="V50" i="1"/>
  <c r="W50" i="1"/>
  <c r="X50" i="1"/>
  <c r="Y50" i="1"/>
  <c r="Z50" i="1"/>
  <c r="T51" i="1"/>
  <c r="U51" i="1"/>
  <c r="V51" i="1"/>
  <c r="W51" i="1"/>
  <c r="X51" i="1"/>
  <c r="Y51" i="1"/>
  <c r="Z51" i="1"/>
  <c r="T52" i="1"/>
  <c r="U52" i="1"/>
  <c r="V52" i="1"/>
  <c r="W52" i="1"/>
  <c r="X52" i="1"/>
  <c r="Y52" i="1"/>
  <c r="Z52" i="1"/>
  <c r="T53" i="1"/>
  <c r="U53" i="1"/>
  <c r="V53" i="1"/>
  <c r="W53" i="1"/>
  <c r="X53" i="1"/>
  <c r="Y53" i="1"/>
  <c r="Z53" i="1"/>
  <c r="T54" i="1"/>
  <c r="U54" i="1"/>
  <c r="V54" i="1"/>
  <c r="W54" i="1"/>
  <c r="X54" i="1"/>
  <c r="Y54" i="1"/>
  <c r="Z54" i="1"/>
  <c r="T55" i="1"/>
  <c r="U55" i="1"/>
  <c r="V55" i="1"/>
  <c r="W55" i="1"/>
  <c r="X55" i="1"/>
  <c r="Y55" i="1"/>
  <c r="Z55" i="1"/>
  <c r="T56" i="1"/>
  <c r="U56" i="1"/>
  <c r="V56" i="1"/>
  <c r="W56" i="1"/>
  <c r="X56" i="1"/>
  <c r="Y56" i="1"/>
  <c r="Z56" i="1"/>
  <c r="T57" i="1"/>
  <c r="U57" i="1"/>
  <c r="V57" i="1"/>
  <c r="X57" i="1"/>
  <c r="Y57" i="1"/>
  <c r="Z57" i="1"/>
  <c r="T58" i="1"/>
  <c r="U58" i="1"/>
  <c r="V58" i="1"/>
  <c r="W58" i="1"/>
  <c r="X58" i="1"/>
  <c r="Y58" i="1"/>
  <c r="Z58" i="1"/>
  <c r="T59" i="1"/>
  <c r="U59" i="1"/>
  <c r="V59" i="1"/>
  <c r="W59" i="1"/>
  <c r="X59" i="1"/>
  <c r="Y59" i="1"/>
  <c r="Z59" i="1"/>
  <c r="T60" i="1"/>
  <c r="U60" i="1"/>
  <c r="V60" i="1"/>
  <c r="W60" i="1"/>
  <c r="X60" i="1"/>
  <c r="Y60" i="1"/>
  <c r="Z60" i="1"/>
  <c r="T61" i="1"/>
  <c r="U61" i="1"/>
  <c r="V61" i="1"/>
  <c r="W61" i="1"/>
  <c r="X61" i="1"/>
  <c r="Y61" i="1"/>
  <c r="Z61" i="1"/>
  <c r="T62" i="1"/>
  <c r="U62" i="1"/>
  <c r="V62" i="1"/>
  <c r="W62" i="1"/>
  <c r="X62" i="1"/>
  <c r="Y62" i="1"/>
  <c r="Z62" i="1"/>
  <c r="T63" i="1"/>
  <c r="U63" i="1"/>
  <c r="V63" i="1"/>
  <c r="W63" i="1"/>
  <c r="X63" i="1"/>
  <c r="Y63" i="1"/>
  <c r="Z63" i="1"/>
  <c r="T64" i="1"/>
  <c r="U64" i="1"/>
  <c r="V64" i="1"/>
  <c r="W64" i="1"/>
  <c r="X64" i="1"/>
  <c r="Y64" i="1"/>
  <c r="Z64" i="1"/>
  <c r="T65" i="1"/>
  <c r="U65" i="1"/>
  <c r="V65" i="1"/>
  <c r="W65" i="1"/>
  <c r="X65" i="1"/>
  <c r="Y65" i="1"/>
  <c r="Z65" i="1"/>
  <c r="T66" i="1"/>
  <c r="U66" i="1"/>
  <c r="V66" i="1"/>
  <c r="W66" i="1"/>
  <c r="X66" i="1"/>
  <c r="Y66" i="1"/>
  <c r="Z66" i="1"/>
  <c r="T67" i="1"/>
  <c r="U67" i="1"/>
  <c r="V67" i="1"/>
  <c r="W67" i="1"/>
  <c r="X67" i="1"/>
  <c r="Y67" i="1"/>
  <c r="Z67" i="1"/>
  <c r="T68" i="1"/>
  <c r="U68" i="1"/>
  <c r="V68" i="1"/>
  <c r="W68" i="1"/>
  <c r="X68" i="1"/>
  <c r="Y68" i="1"/>
  <c r="Z68" i="1"/>
  <c r="T69" i="1"/>
  <c r="U69" i="1"/>
  <c r="V69" i="1"/>
  <c r="W69" i="1"/>
  <c r="X69" i="1"/>
  <c r="Y69" i="1"/>
  <c r="Z69" i="1"/>
  <c r="T70" i="1"/>
  <c r="U70" i="1"/>
  <c r="V70" i="1"/>
  <c r="W70" i="1"/>
  <c r="X70" i="1"/>
  <c r="Y70" i="1"/>
  <c r="Z70" i="1"/>
  <c r="T71" i="1"/>
  <c r="U71" i="1"/>
  <c r="V71" i="1"/>
  <c r="W71" i="1"/>
  <c r="X71" i="1"/>
  <c r="Y71" i="1"/>
  <c r="Z71" i="1"/>
  <c r="T72" i="1"/>
  <c r="U72" i="1"/>
  <c r="V72" i="1"/>
  <c r="W72" i="1"/>
  <c r="X72" i="1"/>
  <c r="Y72" i="1"/>
  <c r="Z72" i="1"/>
  <c r="T73" i="1"/>
  <c r="U73" i="1"/>
  <c r="V73" i="1"/>
  <c r="W73" i="1"/>
  <c r="X73" i="1"/>
  <c r="Y73" i="1"/>
  <c r="Z73" i="1"/>
  <c r="T74" i="1"/>
  <c r="U74" i="1"/>
  <c r="V74" i="1"/>
  <c r="W74" i="1"/>
  <c r="X74" i="1"/>
  <c r="Y74" i="1"/>
  <c r="Z74" i="1"/>
  <c r="T75" i="1"/>
  <c r="U75" i="1"/>
  <c r="V75" i="1"/>
  <c r="W75" i="1"/>
  <c r="X75" i="1"/>
  <c r="Y75" i="1"/>
  <c r="Z75" i="1"/>
  <c r="T76" i="1"/>
  <c r="U76" i="1"/>
  <c r="V76" i="1"/>
  <c r="W76" i="1"/>
  <c r="X76" i="1"/>
  <c r="Y76" i="1"/>
  <c r="Z76" i="1"/>
  <c r="T77" i="1"/>
  <c r="U77" i="1"/>
  <c r="V77" i="1"/>
  <c r="W77" i="1"/>
  <c r="X77" i="1"/>
  <c r="Y77" i="1"/>
  <c r="Z77" i="1"/>
  <c r="T78" i="1"/>
  <c r="U78" i="1"/>
  <c r="V78" i="1"/>
  <c r="W78" i="1"/>
  <c r="X78" i="1"/>
  <c r="Y78" i="1"/>
  <c r="Z78" i="1"/>
  <c r="T79" i="1"/>
  <c r="U79" i="1"/>
  <c r="V79" i="1"/>
  <c r="W79" i="1"/>
  <c r="X79" i="1"/>
  <c r="Y79" i="1"/>
  <c r="Z79" i="1"/>
  <c r="T80" i="1"/>
  <c r="U80" i="1"/>
  <c r="V80" i="1"/>
  <c r="W80" i="1"/>
  <c r="X80" i="1"/>
  <c r="Y80" i="1"/>
  <c r="Z80" i="1"/>
  <c r="T81" i="1"/>
  <c r="U81" i="1"/>
  <c r="V81" i="1"/>
  <c r="W81" i="1"/>
  <c r="X81" i="1"/>
  <c r="Y81" i="1"/>
  <c r="Z81" i="1"/>
  <c r="T82" i="1"/>
  <c r="U82" i="1"/>
  <c r="V82" i="1"/>
  <c r="W82" i="1"/>
  <c r="X82" i="1"/>
  <c r="Y82" i="1"/>
  <c r="Z82" i="1"/>
  <c r="T83" i="1"/>
  <c r="U83" i="1"/>
  <c r="V83" i="1"/>
  <c r="W83" i="1"/>
  <c r="X83" i="1"/>
  <c r="Y83" i="1"/>
  <c r="Z83" i="1"/>
  <c r="T84" i="1"/>
  <c r="U84" i="1"/>
  <c r="V84" i="1"/>
  <c r="W84" i="1"/>
  <c r="X84" i="1"/>
  <c r="Y84" i="1"/>
  <c r="Z84" i="1"/>
  <c r="T85" i="1"/>
  <c r="U85" i="1"/>
  <c r="V85" i="1"/>
  <c r="W85" i="1"/>
  <c r="X85" i="1"/>
  <c r="Y85" i="1"/>
  <c r="Z85" i="1"/>
  <c r="T86" i="1"/>
  <c r="U86" i="1"/>
  <c r="V86" i="1"/>
  <c r="W86" i="1"/>
  <c r="X86" i="1"/>
  <c r="Y86" i="1"/>
  <c r="Z86" i="1"/>
  <c r="T87" i="1"/>
  <c r="U87" i="1"/>
  <c r="V87" i="1"/>
  <c r="W87" i="1"/>
  <c r="X87" i="1"/>
  <c r="Y87" i="1"/>
  <c r="Z87" i="1"/>
  <c r="T88" i="1"/>
  <c r="U88" i="1"/>
  <c r="V88" i="1"/>
  <c r="W88" i="1"/>
  <c r="X88" i="1"/>
  <c r="Y88" i="1"/>
  <c r="Z88" i="1"/>
  <c r="T89" i="1"/>
  <c r="U89" i="1"/>
  <c r="V89" i="1"/>
  <c r="W89" i="1"/>
  <c r="X89" i="1"/>
  <c r="Y89" i="1"/>
  <c r="Z89" i="1"/>
  <c r="T90" i="1"/>
  <c r="U90" i="1"/>
  <c r="V90" i="1"/>
  <c r="W90" i="1"/>
  <c r="X90" i="1"/>
  <c r="Y90" i="1"/>
  <c r="Z90" i="1"/>
  <c r="T91" i="1"/>
  <c r="U91" i="1"/>
  <c r="V91" i="1"/>
  <c r="W91" i="1"/>
  <c r="X91" i="1"/>
  <c r="Y91" i="1"/>
  <c r="Z91" i="1"/>
  <c r="T92" i="1"/>
  <c r="U92" i="1"/>
  <c r="V92" i="1"/>
  <c r="W92" i="1"/>
  <c r="X92" i="1"/>
  <c r="Y92" i="1"/>
  <c r="Z92" i="1"/>
  <c r="T93" i="1"/>
  <c r="U93" i="1"/>
  <c r="V93" i="1"/>
  <c r="W93" i="1"/>
  <c r="X93" i="1"/>
  <c r="Y93" i="1"/>
  <c r="Z93" i="1"/>
  <c r="T94" i="1"/>
  <c r="U94" i="1"/>
  <c r="V94" i="1"/>
  <c r="W94" i="1"/>
  <c r="X94" i="1"/>
  <c r="Y94" i="1"/>
  <c r="Z94" i="1"/>
  <c r="T95" i="1"/>
  <c r="U95" i="1"/>
  <c r="V95" i="1"/>
  <c r="W95" i="1"/>
  <c r="X95" i="1"/>
  <c r="Y95" i="1"/>
  <c r="Z95" i="1"/>
  <c r="T96" i="1"/>
  <c r="U96" i="1"/>
  <c r="V96" i="1"/>
  <c r="W96" i="1"/>
  <c r="X96" i="1"/>
  <c r="Y96" i="1"/>
  <c r="Z96" i="1"/>
  <c r="T97" i="1"/>
  <c r="U97" i="1"/>
  <c r="V97" i="1"/>
  <c r="W97" i="1"/>
  <c r="X97" i="1"/>
  <c r="Y97" i="1"/>
  <c r="Z97" i="1"/>
  <c r="T98" i="1"/>
  <c r="U98" i="1"/>
  <c r="V98" i="1"/>
  <c r="W98" i="1"/>
  <c r="X98" i="1"/>
  <c r="Y98" i="1"/>
  <c r="Z98" i="1"/>
  <c r="T99" i="1"/>
  <c r="U99" i="1"/>
  <c r="V99" i="1"/>
  <c r="W99" i="1"/>
  <c r="X99" i="1"/>
  <c r="Y99" i="1"/>
  <c r="Z99" i="1"/>
  <c r="T100" i="1"/>
  <c r="U100" i="1"/>
  <c r="V100" i="1"/>
  <c r="W100" i="1"/>
  <c r="X100" i="1"/>
  <c r="Y100" i="1"/>
  <c r="Z100" i="1"/>
  <c r="T101" i="1"/>
  <c r="U101" i="1"/>
  <c r="V101" i="1"/>
  <c r="W101" i="1"/>
  <c r="X101" i="1"/>
  <c r="Y101" i="1"/>
  <c r="Z101" i="1"/>
  <c r="T102" i="1"/>
  <c r="U102" i="1"/>
  <c r="V102" i="1"/>
  <c r="W102" i="1"/>
  <c r="X102" i="1"/>
  <c r="Y102" i="1"/>
  <c r="Z102" i="1"/>
  <c r="T103" i="1"/>
  <c r="U103" i="1"/>
  <c r="V103" i="1"/>
  <c r="W103" i="1"/>
  <c r="X103" i="1"/>
  <c r="Y103" i="1"/>
  <c r="Z103" i="1"/>
  <c r="T104" i="1"/>
  <c r="U104" i="1"/>
  <c r="V104" i="1"/>
  <c r="W104" i="1"/>
  <c r="X104" i="1"/>
  <c r="Y104" i="1"/>
  <c r="Z104" i="1"/>
  <c r="T105" i="1"/>
  <c r="U105" i="1"/>
  <c r="V105" i="1"/>
  <c r="W105" i="1"/>
  <c r="X105" i="1"/>
  <c r="Y105" i="1"/>
  <c r="Z105" i="1"/>
  <c r="T106" i="1"/>
  <c r="U106" i="1"/>
  <c r="V106" i="1"/>
  <c r="W106" i="1"/>
  <c r="X106" i="1"/>
  <c r="Y106" i="1"/>
  <c r="Z106" i="1"/>
  <c r="T107" i="1"/>
  <c r="U107" i="1"/>
  <c r="W107" i="1"/>
  <c r="X107" i="1"/>
  <c r="Y107" i="1"/>
  <c r="Z107" i="1"/>
  <c r="T108" i="1"/>
  <c r="U108" i="1"/>
  <c r="V108" i="1"/>
  <c r="W108" i="1"/>
  <c r="X108" i="1"/>
  <c r="Y108" i="1"/>
  <c r="Z108" i="1"/>
  <c r="T109" i="1"/>
  <c r="U109" i="1"/>
  <c r="V109" i="1"/>
  <c r="W109" i="1"/>
  <c r="X109" i="1"/>
  <c r="Y109" i="1"/>
  <c r="Z109" i="1"/>
  <c r="T110" i="1"/>
  <c r="U110" i="1"/>
  <c r="V110" i="1"/>
  <c r="W110" i="1"/>
  <c r="X110" i="1"/>
  <c r="Y110" i="1"/>
  <c r="Z110" i="1"/>
  <c r="T111" i="1"/>
  <c r="U111" i="1"/>
  <c r="V111" i="1"/>
  <c r="W111" i="1"/>
  <c r="X111" i="1"/>
  <c r="Y111" i="1"/>
  <c r="Z111" i="1"/>
  <c r="T112" i="1"/>
  <c r="U112" i="1"/>
  <c r="V112" i="1"/>
  <c r="W112" i="1"/>
  <c r="X112" i="1"/>
  <c r="Y112" i="1"/>
  <c r="Z112" i="1"/>
  <c r="T113" i="1"/>
  <c r="U113" i="1"/>
  <c r="V113" i="1"/>
  <c r="W113" i="1"/>
  <c r="X113" i="1"/>
  <c r="Y113" i="1"/>
  <c r="Z113" i="1"/>
  <c r="T114" i="1"/>
  <c r="U114" i="1"/>
  <c r="V114" i="1"/>
  <c r="W114" i="1"/>
  <c r="X114" i="1"/>
  <c r="Y114" i="1"/>
  <c r="Z114" i="1"/>
  <c r="T115" i="1"/>
  <c r="U115" i="1"/>
  <c r="V115" i="1"/>
  <c r="W115" i="1"/>
  <c r="X115" i="1"/>
  <c r="Y115" i="1"/>
  <c r="Z115" i="1"/>
  <c r="T116" i="1"/>
  <c r="U116" i="1"/>
  <c r="V116" i="1"/>
  <c r="W116" i="1"/>
  <c r="X116" i="1"/>
  <c r="Y116" i="1"/>
  <c r="Z116" i="1"/>
  <c r="T117" i="1"/>
  <c r="U117" i="1"/>
  <c r="V117" i="1"/>
  <c r="W117" i="1"/>
  <c r="X117" i="1"/>
  <c r="Y117" i="1"/>
  <c r="Z117" i="1"/>
  <c r="T118" i="1"/>
  <c r="U118" i="1"/>
  <c r="V118" i="1"/>
  <c r="W118" i="1"/>
  <c r="X118" i="1"/>
  <c r="Y118" i="1"/>
  <c r="Z118" i="1"/>
  <c r="T119" i="1"/>
  <c r="U119" i="1"/>
  <c r="V119" i="1"/>
  <c r="W119" i="1"/>
  <c r="X119" i="1"/>
  <c r="Y119" i="1"/>
  <c r="Z119" i="1"/>
  <c r="T120" i="1"/>
  <c r="U120" i="1"/>
  <c r="V120" i="1"/>
  <c r="W120" i="1"/>
  <c r="X120" i="1"/>
  <c r="Y120" i="1"/>
  <c r="Z120" i="1"/>
  <c r="T121" i="1"/>
  <c r="U121" i="1"/>
  <c r="V121" i="1"/>
  <c r="W121" i="1"/>
  <c r="X121" i="1"/>
  <c r="Y121" i="1"/>
  <c r="Z121" i="1"/>
  <c r="T122" i="1"/>
  <c r="U122" i="1"/>
  <c r="V122" i="1"/>
  <c r="W122" i="1"/>
  <c r="X122" i="1"/>
  <c r="Y122" i="1"/>
  <c r="Z122" i="1"/>
  <c r="T123" i="1"/>
  <c r="U123" i="1"/>
  <c r="V123" i="1"/>
  <c r="W123" i="1"/>
  <c r="X123" i="1"/>
  <c r="Y123" i="1"/>
  <c r="Z123" i="1"/>
  <c r="T124" i="1"/>
  <c r="U124" i="1"/>
  <c r="V124" i="1"/>
  <c r="W124" i="1"/>
  <c r="X124" i="1"/>
  <c r="Y124" i="1"/>
  <c r="Z124" i="1"/>
  <c r="T125" i="1"/>
  <c r="U125" i="1"/>
  <c r="V125" i="1"/>
  <c r="W125" i="1"/>
  <c r="X125" i="1"/>
  <c r="Y125" i="1"/>
  <c r="Z125" i="1"/>
  <c r="T126" i="1"/>
  <c r="U126" i="1"/>
  <c r="V126" i="1"/>
  <c r="W126" i="1"/>
  <c r="X126" i="1"/>
  <c r="Y126" i="1"/>
  <c r="Z126" i="1"/>
  <c r="T127" i="1"/>
  <c r="U127" i="1"/>
  <c r="V127" i="1"/>
  <c r="W127" i="1"/>
  <c r="X127" i="1"/>
  <c r="Y127" i="1"/>
  <c r="Z127" i="1"/>
  <c r="T128" i="1"/>
  <c r="U128" i="1"/>
  <c r="V128" i="1"/>
  <c r="W128" i="1"/>
  <c r="X128" i="1"/>
  <c r="Y128" i="1"/>
  <c r="Z128" i="1"/>
  <c r="T129" i="1"/>
  <c r="U129" i="1"/>
  <c r="V129" i="1"/>
  <c r="W129" i="1"/>
  <c r="X129" i="1"/>
  <c r="Y129" i="1"/>
  <c r="Z129" i="1"/>
  <c r="T130" i="1"/>
  <c r="U130" i="1"/>
  <c r="V130" i="1"/>
  <c r="W130" i="1"/>
  <c r="X130" i="1"/>
  <c r="Y130" i="1"/>
  <c r="Z130" i="1"/>
  <c r="T131" i="1"/>
  <c r="U131" i="1"/>
  <c r="V131" i="1"/>
  <c r="W131" i="1"/>
  <c r="X131" i="1"/>
  <c r="Y131" i="1"/>
  <c r="Z131" i="1"/>
  <c r="T132" i="1"/>
  <c r="U132" i="1"/>
  <c r="V132" i="1"/>
  <c r="W132" i="1"/>
  <c r="X132" i="1"/>
  <c r="Y132" i="1"/>
  <c r="Z132" i="1"/>
  <c r="T133" i="1"/>
  <c r="U133" i="1"/>
  <c r="V133" i="1"/>
  <c r="W133" i="1"/>
  <c r="X133" i="1"/>
  <c r="Y133" i="1"/>
  <c r="Z133" i="1"/>
  <c r="T134" i="1"/>
  <c r="U134" i="1"/>
  <c r="V134" i="1"/>
  <c r="W134" i="1"/>
  <c r="X134" i="1"/>
  <c r="Y134" i="1"/>
  <c r="Z134" i="1"/>
  <c r="T135" i="1"/>
  <c r="U135" i="1"/>
  <c r="V135" i="1"/>
  <c r="W135" i="1"/>
  <c r="X135" i="1"/>
  <c r="Y135" i="1"/>
  <c r="Z135" i="1"/>
  <c r="T136" i="1"/>
  <c r="U136" i="1"/>
  <c r="V136" i="1"/>
  <c r="W136" i="1"/>
  <c r="X136" i="1"/>
  <c r="Y136" i="1"/>
  <c r="Z136" i="1"/>
  <c r="T137" i="1"/>
  <c r="U137" i="1"/>
  <c r="V137" i="1"/>
  <c r="W137" i="1"/>
  <c r="X137" i="1"/>
  <c r="Y137" i="1"/>
  <c r="Z137" i="1"/>
  <c r="T138" i="1"/>
  <c r="U138" i="1"/>
  <c r="V138" i="1"/>
  <c r="W138" i="1"/>
  <c r="X138" i="1"/>
  <c r="Y138" i="1"/>
  <c r="Z138" i="1"/>
  <c r="T139" i="1"/>
  <c r="U139" i="1"/>
  <c r="V139" i="1"/>
  <c r="W139" i="1"/>
  <c r="X139" i="1"/>
  <c r="Y139" i="1"/>
  <c r="Z139" i="1"/>
  <c r="T140" i="1"/>
  <c r="U140" i="1"/>
  <c r="V140" i="1"/>
  <c r="W140" i="1"/>
  <c r="X140" i="1"/>
  <c r="Y140" i="1"/>
  <c r="Z140" i="1"/>
  <c r="T141" i="1"/>
  <c r="U141" i="1"/>
  <c r="V141" i="1"/>
  <c r="W141" i="1"/>
  <c r="X141" i="1"/>
  <c r="Y141" i="1"/>
  <c r="Z141" i="1"/>
  <c r="T142" i="1"/>
  <c r="U142" i="1"/>
  <c r="V142" i="1"/>
  <c r="W142" i="1"/>
  <c r="X142" i="1"/>
  <c r="Y142" i="1"/>
  <c r="Z142" i="1"/>
  <c r="T143" i="1"/>
  <c r="U143" i="1"/>
  <c r="V143" i="1"/>
  <c r="W143" i="1"/>
  <c r="X143" i="1"/>
  <c r="Y143" i="1"/>
  <c r="Z143" i="1"/>
  <c r="T144" i="1"/>
  <c r="U144" i="1"/>
  <c r="V144" i="1"/>
  <c r="W144" i="1"/>
  <c r="X144" i="1"/>
  <c r="Y144" i="1"/>
  <c r="Z144" i="1"/>
  <c r="T145" i="1"/>
  <c r="U145" i="1"/>
  <c r="V145" i="1"/>
  <c r="W145" i="1"/>
  <c r="X145" i="1"/>
  <c r="Y145" i="1"/>
  <c r="Z145" i="1"/>
  <c r="T146" i="1"/>
  <c r="U146" i="1"/>
  <c r="V146" i="1"/>
  <c r="W146" i="1"/>
  <c r="X146" i="1"/>
  <c r="Y146" i="1"/>
  <c r="Z146" i="1"/>
  <c r="T147" i="1"/>
  <c r="U147" i="1"/>
  <c r="V147" i="1"/>
  <c r="W147" i="1"/>
  <c r="X147" i="1"/>
  <c r="Y147" i="1"/>
  <c r="Z147" i="1"/>
  <c r="T148" i="1"/>
  <c r="U148" i="1"/>
  <c r="V148" i="1"/>
  <c r="W148" i="1"/>
  <c r="X148" i="1"/>
  <c r="Y148" i="1"/>
  <c r="Z148" i="1"/>
  <c r="T149" i="1"/>
  <c r="U149" i="1"/>
  <c r="V149" i="1"/>
  <c r="X149" i="1"/>
  <c r="Y149" i="1"/>
  <c r="Z149" i="1"/>
  <c r="T150" i="1"/>
  <c r="U150" i="1"/>
  <c r="V150" i="1"/>
  <c r="W150" i="1"/>
  <c r="X150" i="1"/>
  <c r="Y150" i="1"/>
  <c r="Z150" i="1"/>
  <c r="T151" i="1"/>
  <c r="U151" i="1"/>
  <c r="V151" i="1"/>
  <c r="W151" i="1"/>
  <c r="X151" i="1"/>
  <c r="Y151" i="1"/>
  <c r="Z151" i="1"/>
  <c r="T152" i="1"/>
  <c r="U152" i="1"/>
  <c r="V152" i="1"/>
  <c r="W152" i="1"/>
  <c r="X152" i="1"/>
  <c r="Y152" i="1"/>
  <c r="Z152" i="1"/>
  <c r="T153" i="1"/>
  <c r="U153" i="1"/>
  <c r="V153" i="1"/>
  <c r="W153" i="1"/>
  <c r="X153" i="1"/>
  <c r="Y153" i="1"/>
  <c r="Z153" i="1"/>
  <c r="T154" i="1"/>
  <c r="U154" i="1"/>
  <c r="V154" i="1"/>
  <c r="W154" i="1"/>
  <c r="X154" i="1"/>
  <c r="Y154" i="1"/>
  <c r="Z154" i="1"/>
  <c r="T155" i="1"/>
  <c r="U155" i="1"/>
  <c r="V155" i="1"/>
  <c r="W155" i="1"/>
  <c r="X155" i="1"/>
  <c r="Y155" i="1"/>
  <c r="Z155" i="1"/>
  <c r="T156" i="1"/>
  <c r="U156" i="1"/>
  <c r="V156" i="1"/>
  <c r="W156" i="1"/>
  <c r="X156" i="1"/>
  <c r="Y156" i="1"/>
  <c r="Z156" i="1"/>
  <c r="T157" i="1"/>
  <c r="U157" i="1"/>
  <c r="V157" i="1"/>
  <c r="W157" i="1"/>
  <c r="X157" i="1"/>
  <c r="Y157" i="1"/>
  <c r="Z157" i="1"/>
  <c r="T158" i="1"/>
  <c r="U158" i="1"/>
  <c r="V158" i="1"/>
  <c r="W158" i="1"/>
  <c r="X158" i="1"/>
  <c r="Y158" i="1"/>
  <c r="Z158" i="1"/>
  <c r="T159" i="1"/>
  <c r="U159" i="1"/>
  <c r="V159" i="1"/>
  <c r="W159" i="1"/>
  <c r="X159" i="1"/>
  <c r="Y159" i="1"/>
  <c r="Z159" i="1"/>
  <c r="T160" i="1"/>
  <c r="U160" i="1"/>
  <c r="V160" i="1"/>
  <c r="W160" i="1"/>
  <c r="X160" i="1"/>
  <c r="Y160" i="1"/>
  <c r="Z160" i="1"/>
  <c r="T161" i="1"/>
  <c r="U161" i="1"/>
  <c r="V161" i="1"/>
  <c r="W161" i="1"/>
  <c r="X161" i="1"/>
  <c r="Y161" i="1"/>
  <c r="Z161" i="1"/>
  <c r="T162" i="1"/>
  <c r="U162" i="1"/>
  <c r="V162" i="1"/>
  <c r="W162" i="1"/>
  <c r="X162" i="1"/>
  <c r="Y162" i="1"/>
  <c r="Z162" i="1"/>
  <c r="T163" i="1"/>
  <c r="U163" i="1"/>
  <c r="V163" i="1"/>
  <c r="W163" i="1"/>
  <c r="X163" i="1"/>
  <c r="Y163" i="1"/>
  <c r="Z163" i="1"/>
  <c r="T164" i="1"/>
  <c r="U164" i="1"/>
  <c r="V164" i="1"/>
  <c r="W164" i="1"/>
  <c r="X164" i="1"/>
  <c r="Y164" i="1"/>
  <c r="Z164" i="1"/>
  <c r="T165" i="1"/>
  <c r="U165" i="1"/>
  <c r="V165" i="1"/>
  <c r="W165" i="1"/>
  <c r="X165" i="1"/>
  <c r="Y165" i="1"/>
  <c r="Z165" i="1"/>
  <c r="T166" i="1"/>
  <c r="U166" i="1"/>
  <c r="V166" i="1"/>
  <c r="W166" i="1"/>
  <c r="X166" i="1"/>
  <c r="Y166" i="1"/>
  <c r="Z166" i="1"/>
  <c r="T167" i="1"/>
  <c r="U167" i="1"/>
  <c r="V167" i="1"/>
  <c r="W167" i="1"/>
  <c r="X167" i="1"/>
  <c r="Y167" i="1"/>
  <c r="Z167" i="1"/>
  <c r="T168" i="1"/>
  <c r="U168" i="1"/>
  <c r="V168" i="1"/>
  <c r="W168" i="1"/>
  <c r="X168" i="1"/>
  <c r="Y168" i="1"/>
  <c r="Z168" i="1"/>
  <c r="T169" i="1"/>
  <c r="U169" i="1"/>
  <c r="V169" i="1"/>
  <c r="W169" i="1"/>
  <c r="X169" i="1"/>
  <c r="Y169" i="1"/>
  <c r="Z169" i="1"/>
  <c r="T170" i="1"/>
  <c r="U170" i="1"/>
  <c r="V170" i="1"/>
  <c r="W170" i="1"/>
  <c r="X170" i="1"/>
  <c r="Y170" i="1"/>
  <c r="Z170" i="1"/>
  <c r="T171" i="1"/>
  <c r="U171" i="1"/>
  <c r="V171" i="1"/>
  <c r="W171" i="1"/>
  <c r="X171" i="1"/>
  <c r="Y171" i="1"/>
  <c r="Z171" i="1"/>
  <c r="T172" i="1"/>
  <c r="U172" i="1"/>
  <c r="V172" i="1"/>
  <c r="W172" i="1"/>
  <c r="X172" i="1"/>
  <c r="Y172" i="1"/>
  <c r="Z172" i="1"/>
  <c r="T173" i="1"/>
  <c r="U173" i="1"/>
  <c r="V173" i="1"/>
  <c r="W173" i="1"/>
  <c r="X173" i="1"/>
  <c r="Y173" i="1"/>
  <c r="Z173" i="1"/>
  <c r="T174" i="1"/>
  <c r="V174" i="1"/>
  <c r="X174" i="1"/>
  <c r="Y174" i="1"/>
  <c r="Z174" i="1"/>
  <c r="T175" i="1"/>
  <c r="U175" i="1"/>
  <c r="V175" i="1"/>
  <c r="W175" i="1"/>
  <c r="X175" i="1"/>
  <c r="Y175" i="1"/>
  <c r="Z175" i="1"/>
  <c r="T176" i="1"/>
  <c r="U176" i="1"/>
  <c r="V176" i="1"/>
  <c r="W176" i="1"/>
  <c r="X176" i="1"/>
  <c r="Y176" i="1"/>
  <c r="Z176" i="1"/>
  <c r="T177" i="1"/>
  <c r="U177" i="1"/>
  <c r="V177" i="1"/>
  <c r="W177" i="1"/>
  <c r="X177" i="1"/>
  <c r="Y177" i="1"/>
  <c r="Z177" i="1"/>
  <c r="T178" i="1"/>
  <c r="U178" i="1"/>
  <c r="V178" i="1"/>
  <c r="W178" i="1"/>
  <c r="X178" i="1"/>
  <c r="Y178" i="1"/>
  <c r="Z178" i="1"/>
  <c r="T179" i="1"/>
  <c r="U179" i="1"/>
  <c r="V179" i="1"/>
  <c r="W179" i="1"/>
  <c r="X179" i="1"/>
  <c r="Y179" i="1"/>
  <c r="Z179" i="1"/>
  <c r="T180" i="1"/>
  <c r="U180" i="1"/>
  <c r="V180" i="1"/>
  <c r="W180" i="1"/>
  <c r="X180" i="1"/>
  <c r="Y180" i="1"/>
  <c r="Z180" i="1"/>
  <c r="T181" i="1"/>
  <c r="U181" i="1"/>
  <c r="V181" i="1"/>
  <c r="W181" i="1"/>
  <c r="X181" i="1"/>
  <c r="Y181" i="1"/>
  <c r="Z181" i="1"/>
  <c r="T182" i="1"/>
  <c r="U182" i="1"/>
  <c r="V182" i="1"/>
  <c r="W182" i="1"/>
  <c r="X182" i="1"/>
  <c r="Y182" i="1"/>
  <c r="Z182" i="1"/>
  <c r="T183" i="1"/>
  <c r="U183" i="1"/>
  <c r="V183" i="1"/>
  <c r="W183" i="1"/>
  <c r="X183" i="1"/>
  <c r="Y183" i="1"/>
  <c r="Z183" i="1"/>
  <c r="T184" i="1"/>
  <c r="U184" i="1"/>
  <c r="V184" i="1"/>
  <c r="W184" i="1"/>
  <c r="X184" i="1"/>
  <c r="Y184" i="1"/>
  <c r="Z184" i="1"/>
  <c r="T185" i="1"/>
  <c r="U185" i="1"/>
  <c r="V185" i="1"/>
  <c r="W185" i="1"/>
  <c r="X185" i="1"/>
  <c r="Y185" i="1"/>
  <c r="Z185" i="1"/>
  <c r="T186" i="1"/>
  <c r="U186" i="1"/>
  <c r="V186" i="1"/>
  <c r="W186" i="1"/>
  <c r="X186" i="1"/>
  <c r="Y186" i="1"/>
  <c r="Z186" i="1"/>
  <c r="T187" i="1"/>
  <c r="U187" i="1"/>
  <c r="V187" i="1"/>
  <c r="W187" i="1"/>
  <c r="X187" i="1"/>
  <c r="Y187" i="1"/>
  <c r="Z187" i="1"/>
  <c r="T188" i="1"/>
  <c r="U188" i="1"/>
  <c r="V188" i="1"/>
  <c r="W188" i="1"/>
  <c r="X188" i="1"/>
  <c r="Y188" i="1"/>
  <c r="Z188" i="1"/>
  <c r="T189" i="1"/>
  <c r="U189" i="1"/>
  <c r="V189" i="1"/>
  <c r="W189" i="1"/>
  <c r="X189" i="1"/>
  <c r="Y189" i="1"/>
  <c r="Z189" i="1"/>
  <c r="T190" i="1"/>
  <c r="U190" i="1"/>
  <c r="V190" i="1"/>
  <c r="W190" i="1"/>
  <c r="X190" i="1"/>
  <c r="Y190" i="1"/>
  <c r="Z190" i="1"/>
  <c r="T191" i="1"/>
  <c r="U191" i="1"/>
  <c r="V191" i="1"/>
  <c r="W191" i="1"/>
  <c r="X191" i="1"/>
  <c r="Y191" i="1"/>
  <c r="Z191" i="1"/>
  <c r="T192" i="1"/>
  <c r="U192" i="1"/>
  <c r="V192" i="1"/>
  <c r="W192" i="1"/>
  <c r="X192" i="1"/>
  <c r="Y192" i="1"/>
  <c r="Z192" i="1"/>
  <c r="T193" i="1"/>
  <c r="U193" i="1"/>
  <c r="V193" i="1"/>
  <c r="W193" i="1"/>
  <c r="X193" i="1"/>
  <c r="Y193" i="1"/>
  <c r="Z193" i="1"/>
  <c r="T194" i="1"/>
  <c r="U194" i="1"/>
  <c r="V194" i="1"/>
  <c r="W194" i="1"/>
  <c r="X194" i="1"/>
  <c r="Y194" i="1"/>
  <c r="Z194" i="1"/>
  <c r="T195" i="1"/>
  <c r="U195" i="1"/>
  <c r="V195" i="1"/>
  <c r="W195" i="1"/>
  <c r="X195" i="1"/>
  <c r="Y195" i="1"/>
  <c r="Z195" i="1"/>
  <c r="T196" i="1"/>
  <c r="U196" i="1"/>
  <c r="V196" i="1"/>
  <c r="W196" i="1"/>
  <c r="X196" i="1"/>
  <c r="Y196" i="1"/>
  <c r="Z196" i="1"/>
  <c r="T197" i="1"/>
  <c r="U197" i="1"/>
  <c r="V197" i="1"/>
  <c r="W197" i="1"/>
  <c r="X197" i="1"/>
  <c r="Y197" i="1"/>
  <c r="Z197" i="1"/>
  <c r="T198" i="1"/>
  <c r="U198" i="1"/>
  <c r="V198" i="1"/>
  <c r="W198" i="1"/>
  <c r="X198" i="1"/>
  <c r="Y198" i="1"/>
  <c r="Z198" i="1"/>
  <c r="T199" i="1"/>
  <c r="U199" i="1"/>
  <c r="V199" i="1"/>
  <c r="W199" i="1"/>
  <c r="X199" i="1"/>
  <c r="Y199" i="1"/>
  <c r="Z199" i="1"/>
  <c r="T200" i="1"/>
  <c r="U200" i="1"/>
  <c r="V200" i="1"/>
  <c r="W200" i="1"/>
  <c r="X200" i="1"/>
  <c r="Y200" i="1"/>
  <c r="Z200" i="1"/>
  <c r="T201" i="1"/>
  <c r="U201" i="1"/>
  <c r="V201" i="1"/>
  <c r="W201" i="1"/>
  <c r="X201" i="1"/>
  <c r="Y201" i="1"/>
  <c r="Z201" i="1"/>
  <c r="T202" i="1"/>
  <c r="U202" i="1"/>
  <c r="V202" i="1"/>
  <c r="W202" i="1"/>
  <c r="X202" i="1"/>
  <c r="Y202" i="1"/>
  <c r="Z202" i="1"/>
  <c r="T203" i="1"/>
  <c r="U203" i="1"/>
  <c r="V203" i="1"/>
  <c r="W203" i="1"/>
  <c r="X203" i="1"/>
  <c r="Y203" i="1"/>
  <c r="Z203" i="1"/>
  <c r="T204" i="1"/>
  <c r="U204" i="1"/>
  <c r="V204" i="1"/>
  <c r="W204" i="1"/>
  <c r="X204" i="1"/>
  <c r="Y204" i="1"/>
  <c r="Z204" i="1"/>
  <c r="T205" i="1"/>
  <c r="U205" i="1"/>
  <c r="V205" i="1"/>
  <c r="W205" i="1"/>
  <c r="X205" i="1"/>
  <c r="Y205" i="1"/>
  <c r="Z205" i="1"/>
  <c r="T206" i="1"/>
  <c r="U206" i="1"/>
  <c r="V206" i="1"/>
  <c r="W206" i="1"/>
  <c r="X206" i="1"/>
  <c r="Y206" i="1"/>
  <c r="Z206" i="1"/>
  <c r="S31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Z2" i="1"/>
  <c r="Y2" i="1"/>
  <c r="X2" i="1"/>
  <c r="W2" i="1"/>
  <c r="V2" i="1"/>
  <c r="U2" i="1"/>
  <c r="T2" i="1"/>
  <c r="S2" i="1"/>
</calcChain>
</file>

<file path=xl/sharedStrings.xml><?xml version="1.0" encoding="utf-8"?>
<sst xmlns="http://schemas.openxmlformats.org/spreadsheetml/2006/main" count="5066" uniqueCount="720">
  <si>
    <t>Bay</t>
  </si>
  <si>
    <t>Make</t>
  </si>
  <si>
    <t>Model</t>
  </si>
  <si>
    <t>Year</t>
  </si>
  <si>
    <t>Start Service</t>
  </si>
  <si>
    <t>Rock Back</t>
  </si>
  <si>
    <t>Finish Service</t>
  </si>
  <si>
    <t>Leaving Bay</t>
  </si>
  <si>
    <t>Ford</t>
  </si>
  <si>
    <t>Mitsubishi</t>
  </si>
  <si>
    <t>Ram</t>
  </si>
  <si>
    <t>Jeep</t>
  </si>
  <si>
    <t>Toyota</t>
  </si>
  <si>
    <t>Hyundai</t>
  </si>
  <si>
    <t>Nissan</t>
  </si>
  <si>
    <t>Honda</t>
  </si>
  <si>
    <t>Kia</t>
  </si>
  <si>
    <t>Fusion</t>
  </si>
  <si>
    <t>Outlander</t>
  </si>
  <si>
    <t>3500 HD</t>
  </si>
  <si>
    <t>2500 HD</t>
  </si>
  <si>
    <t>Silverado</t>
  </si>
  <si>
    <t>Transit</t>
  </si>
  <si>
    <t>Trax</t>
  </si>
  <si>
    <t>Explorer</t>
  </si>
  <si>
    <t>Pacifica</t>
  </si>
  <si>
    <t>Sienna</t>
  </si>
  <si>
    <t>Elantra</t>
  </si>
  <si>
    <t>Altima</t>
  </si>
  <si>
    <t>Civic</t>
  </si>
  <si>
    <t>Sportage</t>
  </si>
  <si>
    <t>Focus</t>
  </si>
  <si>
    <t>Rogue</t>
  </si>
  <si>
    <t>Sedan</t>
  </si>
  <si>
    <t>SUV</t>
  </si>
  <si>
    <t>Diesel Truck</t>
  </si>
  <si>
    <t>Truck</t>
  </si>
  <si>
    <t>PT Cruiser</t>
  </si>
  <si>
    <t>Chevy</t>
  </si>
  <si>
    <t>Cust Parking</t>
  </si>
  <si>
    <t>Greeting</t>
  </si>
  <si>
    <t>Car Pull In Bay</t>
  </si>
  <si>
    <t>Get Ready</t>
  </si>
  <si>
    <t>Cash Out</t>
  </si>
  <si>
    <t>Notes</t>
  </si>
  <si>
    <t>Car Type</t>
  </si>
  <si>
    <t>Make Country</t>
  </si>
  <si>
    <t>14:19:10</t>
  </si>
  <si>
    <t>14:22:30</t>
  </si>
  <si>
    <t>14:25:55</t>
  </si>
  <si>
    <t>14:28:15</t>
  </si>
  <si>
    <t>14:32:05</t>
  </si>
  <si>
    <t>14:32:48</t>
  </si>
  <si>
    <t>14:33:19</t>
  </si>
  <si>
    <t>S.</t>
  </si>
  <si>
    <t>USA</t>
  </si>
  <si>
    <t>Chrysler</t>
  </si>
  <si>
    <t>14:22:50</t>
  </si>
  <si>
    <t>14:23:05</t>
  </si>
  <si>
    <t>14:25:05</t>
  </si>
  <si>
    <t>14:28:11</t>
  </si>
  <si>
    <t>14:26:36</t>
  </si>
  <si>
    <t>14:32:03</t>
  </si>
  <si>
    <t>14:39:19</t>
  </si>
  <si>
    <t>14:39:47</t>
  </si>
  <si>
    <t>14:41:27</t>
  </si>
  <si>
    <t>MIS .S.</t>
  </si>
  <si>
    <t>14:34:56</t>
  </si>
  <si>
    <t>14:35:20</t>
  </si>
  <si>
    <t>14:38:22</t>
  </si>
  <si>
    <t>14:42:06</t>
  </si>
  <si>
    <t>14:39:50</t>
  </si>
  <si>
    <t>14:50:33</t>
  </si>
  <si>
    <t>14:57:20</t>
  </si>
  <si>
    <t>14:59:22</t>
  </si>
  <si>
    <t>15:01:02</t>
  </si>
  <si>
    <t>Chevi</t>
  </si>
  <si>
    <t>14:36:02</t>
  </si>
  <si>
    <t>14:40:52</t>
  </si>
  <si>
    <t>14:37:05</t>
  </si>
  <si>
    <t>14:45:35</t>
  </si>
  <si>
    <t>15:01:00</t>
  </si>
  <si>
    <t>15:21:11</t>
  </si>
  <si>
    <t>15:21:50</t>
  </si>
  <si>
    <t>Trans. S + Sheet plate</t>
  </si>
  <si>
    <t>14:34:06</t>
  </si>
  <si>
    <t>14:34:20</t>
  </si>
  <si>
    <t>14:43:45</t>
  </si>
  <si>
    <t>14:48:08</t>
  </si>
  <si>
    <t>14:45:20</t>
  </si>
  <si>
    <t>14:54:00</t>
  </si>
  <si>
    <t>15:30:48</t>
  </si>
  <si>
    <t>15:31:23</t>
  </si>
  <si>
    <t>15:34:50</t>
  </si>
  <si>
    <t>S. FF.</t>
  </si>
  <si>
    <t>14:51:37</t>
  </si>
  <si>
    <t>14:52:14</t>
  </si>
  <si>
    <t>15:13:50</t>
  </si>
  <si>
    <t>15:18:27</t>
  </si>
  <si>
    <t>15:15:54</t>
  </si>
  <si>
    <t>15:23:40</t>
  </si>
  <si>
    <t>15:32:15</t>
  </si>
  <si>
    <t>15:34:40</t>
  </si>
  <si>
    <t>15:36:15</t>
  </si>
  <si>
    <t>14:37:01</t>
  </si>
  <si>
    <t>14:37:40</t>
  </si>
  <si>
    <t>15:02:32</t>
  </si>
  <si>
    <t>15:07:03</t>
  </si>
  <si>
    <t>15:03:35</t>
  </si>
  <si>
    <t>15:08:45</t>
  </si>
  <si>
    <t>15:20:40</t>
  </si>
  <si>
    <t>15:21:24</t>
  </si>
  <si>
    <t>15:22:05</t>
  </si>
  <si>
    <t>S.C. A. + Sheet plate</t>
  </si>
  <si>
    <t>15:08:02</t>
  </si>
  <si>
    <t>15:08:40</t>
  </si>
  <si>
    <t>15:23:45</t>
  </si>
  <si>
    <t>15:28:45</t>
  </si>
  <si>
    <t>15:25:02</t>
  </si>
  <si>
    <t>15:30:51</t>
  </si>
  <si>
    <t>15:56:40</t>
  </si>
  <si>
    <t>16:00:36</t>
  </si>
  <si>
    <t>16:02:05</t>
  </si>
  <si>
    <t>Trans. + Sheet plate</t>
  </si>
  <si>
    <t>2500</t>
  </si>
  <si>
    <t>15:10:42</t>
  </si>
  <si>
    <t>15:11:05</t>
  </si>
  <si>
    <t>15:24:36</t>
  </si>
  <si>
    <t>15:30:10</t>
  </si>
  <si>
    <t>15:26:26</t>
  </si>
  <si>
    <t>15:32:50</t>
  </si>
  <si>
    <t>15:54:36</t>
  </si>
  <si>
    <t>15:55:26</t>
  </si>
  <si>
    <t>15:56:16</t>
  </si>
  <si>
    <t>15:21:05</t>
  </si>
  <si>
    <t>15:36:39</t>
  </si>
  <si>
    <t>15:41:20</t>
  </si>
  <si>
    <t>15:38:27</t>
  </si>
  <si>
    <t>15:45:16</t>
  </si>
  <si>
    <t>15:48:33</t>
  </si>
  <si>
    <t>15:59:26</t>
  </si>
  <si>
    <t>16:00:48</t>
  </si>
  <si>
    <t>S. wiper L.</t>
  </si>
  <si>
    <t>15:38:25</t>
  </si>
  <si>
    <t>15:39:20</t>
  </si>
  <si>
    <t>16:02:22</t>
  </si>
  <si>
    <t>16:07:11</t>
  </si>
  <si>
    <t>16:03:29</t>
  </si>
  <si>
    <t>Cherokee</t>
  </si>
  <si>
    <t>15:51:10</t>
  </si>
  <si>
    <t>15:51:30</t>
  </si>
  <si>
    <t>16:04:24</t>
  </si>
  <si>
    <t>16:11:20</t>
  </si>
  <si>
    <t>16:06:40</t>
  </si>
  <si>
    <t>16:14:40</t>
  </si>
  <si>
    <t>16:21:58</t>
  </si>
  <si>
    <t>16:22:31</t>
  </si>
  <si>
    <t>16:23:40</t>
  </si>
  <si>
    <t>S.CAF</t>
  </si>
  <si>
    <t>16:05:55</t>
  </si>
  <si>
    <t>16:06:10</t>
  </si>
  <si>
    <t>16:16:10</t>
  </si>
  <si>
    <t>16:19:03</t>
  </si>
  <si>
    <t>16:17:23</t>
  </si>
  <si>
    <t>16:21:19</t>
  </si>
  <si>
    <t>16:25:23</t>
  </si>
  <si>
    <t>16:30:05</t>
  </si>
  <si>
    <t>16:31:56</t>
  </si>
  <si>
    <t>Fleet. S. ROT</t>
  </si>
  <si>
    <t>Japan</t>
  </si>
  <si>
    <t>16:18:42</t>
  </si>
  <si>
    <t>16:19:50</t>
  </si>
  <si>
    <t>16:25:30</t>
  </si>
  <si>
    <t>16:29:28</t>
  </si>
  <si>
    <t>16:26:48</t>
  </si>
  <si>
    <t>16:31:08</t>
  </si>
  <si>
    <t>16:36:26</t>
  </si>
  <si>
    <t>16:42:48</t>
  </si>
  <si>
    <t>16:43:35</t>
  </si>
  <si>
    <t>S.L.</t>
  </si>
  <si>
    <t>Korea</t>
  </si>
  <si>
    <t>16:26:27</t>
  </si>
  <si>
    <t>16:27:22</t>
  </si>
  <si>
    <t>16:31:48</t>
  </si>
  <si>
    <t>16:35:07</t>
  </si>
  <si>
    <t>16:33:09</t>
  </si>
  <si>
    <t>16:37:05</t>
  </si>
  <si>
    <t>16:41:09</t>
  </si>
  <si>
    <t>16:41:20</t>
  </si>
  <si>
    <t>16:44:20</t>
  </si>
  <si>
    <t>16:37:10</t>
  </si>
  <si>
    <t>16:37:48</t>
  </si>
  <si>
    <t>16:42:45</t>
  </si>
  <si>
    <t>16:48:10</t>
  </si>
  <si>
    <t>16:43:50</t>
  </si>
  <si>
    <t>16:52:40</t>
  </si>
  <si>
    <t>16:56:07</t>
  </si>
  <si>
    <t>16:57:42</t>
  </si>
  <si>
    <t>16:59:58</t>
  </si>
  <si>
    <t>S. Bat cleaning</t>
  </si>
  <si>
    <t>17:06:20</t>
  </si>
  <si>
    <t>17:06:40</t>
  </si>
  <si>
    <t>17:08:35</t>
  </si>
  <si>
    <t>17:11:15</t>
  </si>
  <si>
    <t>17:10:05</t>
  </si>
  <si>
    <t>17:15:48</t>
  </si>
  <si>
    <t>17:17:40</t>
  </si>
  <si>
    <t>17:17:50</t>
  </si>
  <si>
    <t>17:19:41</t>
  </si>
  <si>
    <t>17:16:39</t>
  </si>
  <si>
    <t>17:17:20</t>
  </si>
  <si>
    <t>17:18:25</t>
  </si>
  <si>
    <t>17:21:17</t>
  </si>
  <si>
    <t>17:19:20</t>
  </si>
  <si>
    <t>17:25:13</t>
  </si>
  <si>
    <t>17:28:35</t>
  </si>
  <si>
    <t>17:29:05</t>
  </si>
  <si>
    <t>17:30:49</t>
  </si>
  <si>
    <t xml:space="preserve">S. </t>
  </si>
  <si>
    <t>17:49:20</t>
  </si>
  <si>
    <t>17:49:40</t>
  </si>
  <si>
    <t>17:50:40</t>
  </si>
  <si>
    <t>17:54:26</t>
  </si>
  <si>
    <t>17:52:11</t>
  </si>
  <si>
    <t>17:57:58</t>
  </si>
  <si>
    <t>18:02:23</t>
  </si>
  <si>
    <t>18:02:44</t>
  </si>
  <si>
    <t>18:04:43</t>
  </si>
  <si>
    <t>s.AF. MIN</t>
  </si>
  <si>
    <t>Equinox</t>
  </si>
  <si>
    <t>12:42:09</t>
  </si>
  <si>
    <t>12:42:30</t>
  </si>
  <si>
    <t>12:43:44</t>
  </si>
  <si>
    <t>12:46:39</t>
  </si>
  <si>
    <t>12:44:41</t>
  </si>
  <si>
    <t>12:51:13</t>
  </si>
  <si>
    <t>12:56:40</t>
  </si>
  <si>
    <t>12:57:19</t>
  </si>
  <si>
    <t>13:02:40</t>
  </si>
  <si>
    <t>F-150</t>
  </si>
  <si>
    <t>12:44:02</t>
  </si>
  <si>
    <t>12:44:31</t>
  </si>
  <si>
    <t>12:45:38</t>
  </si>
  <si>
    <t>12:49:45</t>
  </si>
  <si>
    <t>12:46:45</t>
  </si>
  <si>
    <t>12:54:50</t>
  </si>
  <si>
    <t>13:03:10</t>
  </si>
  <si>
    <t>13:15:23</t>
  </si>
  <si>
    <t>13:18:57</t>
  </si>
  <si>
    <t>S. BTC + TCS + Seeet Plate</t>
  </si>
  <si>
    <t>Buick</t>
  </si>
  <si>
    <t>Park Ave</t>
  </si>
  <si>
    <t>12:50:19</t>
  </si>
  <si>
    <t>12:50:47</t>
  </si>
  <si>
    <t>12:52:37</t>
  </si>
  <si>
    <t>13:08:11</t>
  </si>
  <si>
    <t>12:54:43</t>
  </si>
  <si>
    <t>13:12:46</t>
  </si>
  <si>
    <t>13:17:43</t>
  </si>
  <si>
    <t>13:18:29</t>
  </si>
  <si>
    <t>13:20:31</t>
  </si>
  <si>
    <t>12:51:02</t>
  </si>
  <si>
    <t>12:51:26</t>
  </si>
  <si>
    <t>13:03:45</t>
  </si>
  <si>
    <t>13:12:25</t>
  </si>
  <si>
    <t>13:05:02</t>
  </si>
  <si>
    <t>13:15:30</t>
  </si>
  <si>
    <t>13:19:16</t>
  </si>
  <si>
    <t>13:22:01</t>
  </si>
  <si>
    <t>13:23:14</t>
  </si>
  <si>
    <t>S. AFC. + Seeet Plate</t>
  </si>
  <si>
    <t>Enclave</t>
  </si>
  <si>
    <t>13:16:53</t>
  </si>
  <si>
    <t>13:17:19</t>
  </si>
  <si>
    <t>13:19:48</t>
  </si>
  <si>
    <t>13:24:24</t>
  </si>
  <si>
    <t>13:21:24</t>
  </si>
  <si>
    <t>13:28:41</t>
  </si>
  <si>
    <t>13:32:35</t>
  </si>
  <si>
    <t>13:36:16</t>
  </si>
  <si>
    <t>13:40:45</t>
  </si>
  <si>
    <t>S. MIN.</t>
  </si>
  <si>
    <t>Sentra</t>
  </si>
  <si>
    <t>13:24:55</t>
  </si>
  <si>
    <t>13:25:19</t>
  </si>
  <si>
    <t>13:26:01</t>
  </si>
  <si>
    <t>13:32:30</t>
  </si>
  <si>
    <t>13:27:40</t>
  </si>
  <si>
    <t>13:35:05</t>
  </si>
  <si>
    <t>13:48:45</t>
  </si>
  <si>
    <t>13:51:02</t>
  </si>
  <si>
    <t>S. ROT</t>
  </si>
  <si>
    <t>ARMADA</t>
  </si>
  <si>
    <t>13:26:05</t>
  </si>
  <si>
    <t>13:27:50</t>
  </si>
  <si>
    <t>13:28:39</t>
  </si>
  <si>
    <t>13:35:52</t>
  </si>
  <si>
    <t>13:30:48</t>
  </si>
  <si>
    <t>13:42:01</t>
  </si>
  <si>
    <t>13:52:15</t>
  </si>
  <si>
    <t>13:53:27</t>
  </si>
  <si>
    <t>13:55:18</t>
  </si>
  <si>
    <t>S. AFC + Seeet Plate</t>
  </si>
  <si>
    <t>16:42:13</t>
  </si>
  <si>
    <t>16:42:30</t>
  </si>
  <si>
    <t>16:46:59</t>
  </si>
  <si>
    <t>16:45:02</t>
  </si>
  <si>
    <t>16:52:14</t>
  </si>
  <si>
    <t>17:00:05</t>
  </si>
  <si>
    <t>17:00:23</t>
  </si>
  <si>
    <t>17:02:11</t>
  </si>
  <si>
    <t>Promaster</t>
  </si>
  <si>
    <t>16:46:44</t>
  </si>
  <si>
    <t>16:47:20</t>
  </si>
  <si>
    <t>16:48:28</t>
  </si>
  <si>
    <t>16:52:49</t>
  </si>
  <si>
    <t>16:50:01</t>
  </si>
  <si>
    <t>16:57:19</t>
  </si>
  <si>
    <t>17:19:58</t>
  </si>
  <si>
    <t>17:20:41</t>
  </si>
  <si>
    <t>17:22:10</t>
  </si>
  <si>
    <t>S. AFC + WPB</t>
  </si>
  <si>
    <t>GMC</t>
  </si>
  <si>
    <t>Terrain</t>
  </si>
  <si>
    <t>16:50:20</t>
  </si>
  <si>
    <t>16:51:10</t>
  </si>
  <si>
    <t>16:53:02</t>
  </si>
  <si>
    <t>17:02:25</t>
  </si>
  <si>
    <t>16:55:44</t>
  </si>
  <si>
    <t>17:06:26</t>
  </si>
  <si>
    <t>17:10:28</t>
  </si>
  <si>
    <t>17:10:55</t>
  </si>
  <si>
    <t>17:13:56</t>
  </si>
  <si>
    <t>S. CAF</t>
  </si>
  <si>
    <t>Highlander</t>
  </si>
  <si>
    <t>S. AF CAF</t>
  </si>
  <si>
    <t>S. RDS</t>
  </si>
  <si>
    <t>Kicks</t>
  </si>
  <si>
    <t>S. AF. AFC</t>
  </si>
  <si>
    <t>CR-V</t>
  </si>
  <si>
    <t>S. AFC. BSR</t>
  </si>
  <si>
    <t>Traverse</t>
  </si>
  <si>
    <t>S. AF.</t>
  </si>
  <si>
    <t>S. AFC</t>
  </si>
  <si>
    <t>Suburban</t>
  </si>
  <si>
    <t>S. AF</t>
  </si>
  <si>
    <t>Mazda</t>
  </si>
  <si>
    <t>Mazda 3</t>
  </si>
  <si>
    <t>S. AF. MIN, BLR, ROT</t>
  </si>
  <si>
    <t>Murano</t>
  </si>
  <si>
    <t>S. AF. AFC. MIN, RDS. TEK, WB</t>
  </si>
  <si>
    <t>Sierra 1500</t>
  </si>
  <si>
    <t>S. MIN</t>
  </si>
  <si>
    <t>EDGE</t>
  </si>
  <si>
    <t>LeSabre</t>
  </si>
  <si>
    <t>Grand Cherokee</t>
  </si>
  <si>
    <t>S. AFC. BLR</t>
  </si>
  <si>
    <t>Subaru</t>
  </si>
  <si>
    <t>Forester</t>
  </si>
  <si>
    <t>Dodge</t>
  </si>
  <si>
    <t>Durango</t>
  </si>
  <si>
    <t>S. AFC. RDS</t>
  </si>
  <si>
    <t>Journey</t>
  </si>
  <si>
    <t>S. MIN. Adding Trans</t>
  </si>
  <si>
    <t>Optima</t>
  </si>
  <si>
    <t>S. CAF. AFC</t>
  </si>
  <si>
    <t>F250</t>
  </si>
  <si>
    <t>Acadia</t>
  </si>
  <si>
    <t>Lincoln</t>
  </si>
  <si>
    <t>MKX</t>
  </si>
  <si>
    <t>S. AF. BLR.</t>
  </si>
  <si>
    <t>Compan</t>
  </si>
  <si>
    <t>RAM</t>
  </si>
  <si>
    <t>1500</t>
  </si>
  <si>
    <t>BUICK</t>
  </si>
  <si>
    <t>CASCADA</t>
  </si>
  <si>
    <t>BMW</t>
  </si>
  <si>
    <t>X2</t>
  </si>
  <si>
    <t>S. MIN. AFC</t>
  </si>
  <si>
    <t>Germany</t>
  </si>
  <si>
    <t>DODGE</t>
  </si>
  <si>
    <t>Caravan</t>
  </si>
  <si>
    <t>S. MIN. AFC. CAF</t>
  </si>
  <si>
    <t>F150</t>
  </si>
  <si>
    <t>S. WPB</t>
  </si>
  <si>
    <t>EXPEDITION</t>
  </si>
  <si>
    <t>S. AF, CAF, ROT, BFF + sheet plate</t>
  </si>
  <si>
    <t>VOLKSWAGEN</t>
  </si>
  <si>
    <t>ATLAS</t>
  </si>
  <si>
    <t>S. CAF, AFC + sheet plate</t>
  </si>
  <si>
    <t>PONTIAC</t>
  </si>
  <si>
    <t>VIBE</t>
  </si>
  <si>
    <t>ROT AFC</t>
  </si>
  <si>
    <t>FORD</t>
  </si>
  <si>
    <t>NISSAN</t>
  </si>
  <si>
    <t>PATHFINDER</t>
  </si>
  <si>
    <t>S. RDS. BTC + sheet plate</t>
  </si>
  <si>
    <t>IMPALA</t>
  </si>
  <si>
    <t>S. TEK. RAD Moved to Bay 2</t>
  </si>
  <si>
    <t>S. BFR</t>
  </si>
  <si>
    <t>S. Adding Trans</t>
  </si>
  <si>
    <t>Trans</t>
  </si>
  <si>
    <t>S. AFC. Rot + Air Filter</t>
  </si>
  <si>
    <t>HYUNDAI</t>
  </si>
  <si>
    <t>SONATA</t>
  </si>
  <si>
    <t>TERRAIN</t>
  </si>
  <si>
    <t>JEEP</t>
  </si>
  <si>
    <t>WRANGLER</t>
  </si>
  <si>
    <t>ENCORE</t>
  </si>
  <si>
    <t>S. CAF. AF</t>
  </si>
  <si>
    <t>Town &amp; Country</t>
  </si>
  <si>
    <t>S. CAF. WPB</t>
  </si>
  <si>
    <t>TRAVERSE</t>
  </si>
  <si>
    <t>S. ATF AF CAF</t>
  </si>
  <si>
    <t>ODYSSEY</t>
  </si>
  <si>
    <t>S. AFC. CAF. ENG. BFE</t>
  </si>
  <si>
    <t>SUBARU</t>
  </si>
  <si>
    <t>FORESTER</t>
  </si>
  <si>
    <t>S. AF. ROT</t>
  </si>
  <si>
    <t>EQUINOX</t>
  </si>
  <si>
    <t>S. AFC. CAF. ROT</t>
  </si>
  <si>
    <t>S. AFC. AF. CAF</t>
  </si>
  <si>
    <t>COMPASS</t>
  </si>
  <si>
    <t>S. AFC. ATF</t>
  </si>
  <si>
    <t>TACOMA</t>
  </si>
  <si>
    <t>S. CAF. RDS. FDS. ROT</t>
  </si>
  <si>
    <t>JOURNEY</t>
  </si>
  <si>
    <t>S. AFC. ROT</t>
  </si>
  <si>
    <t>ASCENT</t>
  </si>
  <si>
    <t>S. MIN. ROT</t>
  </si>
  <si>
    <t>PILOT</t>
  </si>
  <si>
    <t>S. AFC. CAF</t>
  </si>
  <si>
    <t>MALIBU</t>
  </si>
  <si>
    <t>S. AFC. MIN. WPB</t>
  </si>
  <si>
    <t>KICKS</t>
  </si>
  <si>
    <t>CRUZE</t>
  </si>
  <si>
    <t>OUTBACK</t>
  </si>
  <si>
    <t>SAVANA 2500</t>
  </si>
  <si>
    <t>S. WP. AF. ROT</t>
  </si>
  <si>
    <t>S. ROT. RDS. AFC. BAT</t>
  </si>
  <si>
    <t>KIA</t>
  </si>
  <si>
    <t>SORENTO</t>
  </si>
  <si>
    <t>S. ROT. MIN. AFC</t>
  </si>
  <si>
    <t>FOCUS</t>
  </si>
  <si>
    <t>TOYOTA</t>
  </si>
  <si>
    <t>SIENNA</t>
  </si>
  <si>
    <t>S. S. MIN</t>
  </si>
  <si>
    <t>TAHOE</t>
  </si>
  <si>
    <t>GRAND PRIX</t>
  </si>
  <si>
    <t>MIN</t>
  </si>
  <si>
    <t>S. CAF. MIN</t>
  </si>
  <si>
    <t>MAZDA</t>
  </si>
  <si>
    <t>MAZDA 6</t>
  </si>
  <si>
    <t>S. Bat. MIN. CAF. AF. RAD.</t>
  </si>
  <si>
    <t>ENVOY</t>
  </si>
  <si>
    <t>TRAX</t>
  </si>
  <si>
    <t>COROLLA</t>
  </si>
  <si>
    <t>RENEGADE</t>
  </si>
  <si>
    <t>S. AF. AFL Cus drove in</t>
  </si>
  <si>
    <t>S. AFC. AF</t>
  </si>
  <si>
    <t>LACROSSE</t>
  </si>
  <si>
    <t>S. ROT. AF. MIS</t>
  </si>
  <si>
    <t>S. MIS. BLR</t>
  </si>
  <si>
    <t>SPORTAGE</t>
  </si>
  <si>
    <t>S. ROT. CAF</t>
  </si>
  <si>
    <t>ALTIMA</t>
  </si>
  <si>
    <t>C-MAX</t>
  </si>
  <si>
    <t>GLADIATOR</t>
  </si>
  <si>
    <t>S. AFC-MIN. CAF. AF. RDS. ROT</t>
  </si>
  <si>
    <t>Volkswagen</t>
  </si>
  <si>
    <t>S. + sheet plate</t>
  </si>
  <si>
    <t>ESCAPE</t>
  </si>
  <si>
    <t>S. + Customer goes sheet plate</t>
  </si>
  <si>
    <t>FORTE</t>
  </si>
  <si>
    <t>2500 Pro</t>
  </si>
  <si>
    <t>Silverado 1500</t>
  </si>
  <si>
    <t>S. ROT. WPB</t>
  </si>
  <si>
    <t>Charger</t>
  </si>
  <si>
    <t>RDSS + sheet plate</t>
  </si>
  <si>
    <t>Taurus</t>
  </si>
  <si>
    <t>Impala</t>
  </si>
  <si>
    <t>RAV4</t>
  </si>
  <si>
    <t>S. ROT.</t>
  </si>
  <si>
    <t>SELTOS</t>
  </si>
  <si>
    <t>SIERRA 1500</t>
  </si>
  <si>
    <t>ACADIA</t>
  </si>
  <si>
    <t>S. ROT. AFC. CAF</t>
  </si>
  <si>
    <t>S. ROT. RDS. CAF Parts</t>
  </si>
  <si>
    <t>S. Trans. AF. AFC</t>
  </si>
  <si>
    <t>LESABRE</t>
  </si>
  <si>
    <t>S. Trans. CAF. AFC Sheet plat</t>
  </si>
  <si>
    <t>S. CAF. MIS</t>
  </si>
  <si>
    <t>G6</t>
  </si>
  <si>
    <t>S. MIS</t>
  </si>
  <si>
    <t>DURANGO</t>
  </si>
  <si>
    <t>FUSION</t>
  </si>
  <si>
    <t>S. AFC. MIS. CAF</t>
  </si>
  <si>
    <t>ENCLAVE</t>
  </si>
  <si>
    <t>RANGER</t>
  </si>
  <si>
    <t>S. WPA. ROT</t>
  </si>
  <si>
    <t>FIESTA</t>
  </si>
  <si>
    <t>PASSAT</t>
  </si>
  <si>
    <t>ACCORD</t>
  </si>
  <si>
    <t>S. RAD. CAF</t>
  </si>
  <si>
    <t>GRAND CARAVAN</t>
  </si>
  <si>
    <t>HONDA</t>
  </si>
  <si>
    <t>Pilot</t>
  </si>
  <si>
    <t>S. MIS. AFC</t>
  </si>
  <si>
    <t>Pathfinder</t>
  </si>
  <si>
    <t>Gran Caravan</t>
  </si>
  <si>
    <t>S. ROT. AFC</t>
  </si>
  <si>
    <t>Avenger</t>
  </si>
  <si>
    <t>CENTURY</t>
  </si>
  <si>
    <t>S. BAT. MIS. CAF</t>
  </si>
  <si>
    <t>S. CAF AFC spark plugs</t>
  </si>
  <si>
    <t>Scion</t>
  </si>
  <si>
    <t>xB</t>
  </si>
  <si>
    <t>CMAX</t>
  </si>
  <si>
    <t>S. CAF AFC</t>
  </si>
  <si>
    <t>PACIFICA</t>
  </si>
  <si>
    <t>440i</t>
  </si>
  <si>
    <t>S. AF CAF AFC Filter skid plate</t>
  </si>
  <si>
    <t>REGAL</t>
  </si>
  <si>
    <t>Expedition</t>
  </si>
  <si>
    <t>S. AFL</t>
  </si>
  <si>
    <t>SILVERADO</t>
  </si>
  <si>
    <t>S. BAT</t>
  </si>
  <si>
    <t>TUCSON</t>
  </si>
  <si>
    <t>S. ROT MIS AFC TES</t>
  </si>
  <si>
    <t>S. CAF AFL</t>
  </si>
  <si>
    <t>SIERRA</t>
  </si>
  <si>
    <t>COLORADO</t>
  </si>
  <si>
    <t>S. Trans.</t>
  </si>
  <si>
    <t>FRONTIER</t>
  </si>
  <si>
    <t>S. AF L</t>
  </si>
  <si>
    <t>CAMRY</t>
  </si>
  <si>
    <t>TRAILBLA</t>
  </si>
  <si>
    <t>S. AF L. AF</t>
  </si>
  <si>
    <t>Service call time</t>
  </si>
  <si>
    <t>Greeting Time</t>
  </si>
  <si>
    <t>Car pull in time</t>
  </si>
  <si>
    <t>rock fillup time</t>
  </si>
  <si>
    <t>Total Service time</t>
  </si>
  <si>
    <t>Cus. Total wait time</t>
  </si>
  <si>
    <t xml:space="preserve"> CSA time</t>
  </si>
  <si>
    <t>Total Bay Time</t>
  </si>
  <si>
    <t>MIN .S.</t>
  </si>
  <si>
    <t>S. ROT. AF. MIN</t>
  </si>
  <si>
    <t>S. MIN. BLR</t>
  </si>
  <si>
    <t>S. AFC. MIN. CAF</t>
  </si>
  <si>
    <t>S. BAT. MIN. CAF</t>
  </si>
  <si>
    <t>S. ROT MIN AFC TES</t>
  </si>
  <si>
    <t>roCAFk fillup time</t>
  </si>
  <si>
    <t>CAFhevi</t>
  </si>
  <si>
    <t>Diesel TruCAFk</t>
  </si>
  <si>
    <t>TruCAFk</t>
  </si>
  <si>
    <t>CAFherokee</t>
  </si>
  <si>
    <t>CAFiviCAF</t>
  </si>
  <si>
    <t>FoCAFus</t>
  </si>
  <si>
    <t>CAFhevy</t>
  </si>
  <si>
    <t>BuiCAFk</t>
  </si>
  <si>
    <t>GMCAF</t>
  </si>
  <si>
    <t>KiCAFks</t>
  </si>
  <si>
    <t>CAFR-V</t>
  </si>
  <si>
    <t>LinCAFoln</t>
  </si>
  <si>
    <t>BUICAFK</t>
  </si>
  <si>
    <t>ENCAFORE</t>
  </si>
  <si>
    <t>Town &amp; CAFountry</t>
  </si>
  <si>
    <t>KICAFKS</t>
  </si>
  <si>
    <t>CAFRUZE</t>
  </si>
  <si>
    <t>FOCAFUS</t>
  </si>
  <si>
    <t>CAFENTURY</t>
  </si>
  <si>
    <t>SCAFion</t>
  </si>
  <si>
    <t>TUCAFSON</t>
  </si>
  <si>
    <t>CAFOLORADO</t>
  </si>
  <si>
    <t>BAFy</t>
  </si>
  <si>
    <t>MAFke</t>
  </si>
  <si>
    <t>YeAFr</t>
  </si>
  <si>
    <t>SedAFn</t>
  </si>
  <si>
    <t>TrAFx</t>
  </si>
  <si>
    <t>ToyotAF</t>
  </si>
  <si>
    <t>SiennAF</t>
  </si>
  <si>
    <t>HyundAFi</t>
  </si>
  <si>
    <t>ElAFntrAF</t>
  </si>
  <si>
    <t>KoreAF</t>
  </si>
  <si>
    <t>NissAFn</t>
  </si>
  <si>
    <t>HondAF</t>
  </si>
  <si>
    <t>KiAF</t>
  </si>
  <si>
    <t>SportAFge</t>
  </si>
  <si>
    <t>PAFrk AFve</t>
  </si>
  <si>
    <t>SentrAF</t>
  </si>
  <si>
    <t>AFRMAFDAF</t>
  </si>
  <si>
    <t>PromAFster</t>
  </si>
  <si>
    <t>TerrAFin</t>
  </si>
  <si>
    <t>HighlAFnder</t>
  </si>
  <si>
    <t>TrAFverse</t>
  </si>
  <si>
    <t>SuburbAFn</t>
  </si>
  <si>
    <t>MAFzdAF</t>
  </si>
  <si>
    <t>MAFzdAF 3</t>
  </si>
  <si>
    <t>MurAFno</t>
  </si>
  <si>
    <t>SierrAF 1500</t>
  </si>
  <si>
    <t>LeSAFbre</t>
  </si>
  <si>
    <t>SubAFru</t>
  </si>
  <si>
    <t>DurAFngo</t>
  </si>
  <si>
    <t>OptimAF</t>
  </si>
  <si>
    <t>GermAFny</t>
  </si>
  <si>
    <t>VOLKSWAFGEN</t>
  </si>
  <si>
    <t>AFTLAFS</t>
  </si>
  <si>
    <t>NISSAFN</t>
  </si>
  <si>
    <t>PAFTHFINDER</t>
  </si>
  <si>
    <t>HYUNDAFI</t>
  </si>
  <si>
    <t>SONAFTAF</t>
  </si>
  <si>
    <t>TERRAFIN</t>
  </si>
  <si>
    <t>WRAFNGLER</t>
  </si>
  <si>
    <t>TRAFVERSE</t>
  </si>
  <si>
    <t>SUBAFRU</t>
  </si>
  <si>
    <t>SAFVAFNAF 2500</t>
  </si>
  <si>
    <t>KIAF</t>
  </si>
  <si>
    <t>TOYOTAF</t>
  </si>
  <si>
    <t>SIENNAF</t>
  </si>
  <si>
    <t>TAFHOE</t>
  </si>
  <si>
    <t>GRAFND PRIX</t>
  </si>
  <si>
    <t>MAFZDAF</t>
  </si>
  <si>
    <t>MAFZDAF 6</t>
  </si>
  <si>
    <t>TRAFX</t>
  </si>
  <si>
    <t>RENEGAFDE</t>
  </si>
  <si>
    <t>SPORTAFGE</t>
  </si>
  <si>
    <t>GLAFDIAFTOR</t>
  </si>
  <si>
    <t>VolkswAFgen</t>
  </si>
  <si>
    <t>TAFurus</t>
  </si>
  <si>
    <t>RAFV4</t>
  </si>
  <si>
    <t>SIERRAF 1500</t>
  </si>
  <si>
    <t>LESAFBRE</t>
  </si>
  <si>
    <t>DURAFNGO</t>
  </si>
  <si>
    <t>RAFNGER</t>
  </si>
  <si>
    <t>S. WPAF. ROT</t>
  </si>
  <si>
    <t>FIESTAF</t>
  </si>
  <si>
    <t>PAFSSAFT</t>
  </si>
  <si>
    <t>HONDAF</t>
  </si>
  <si>
    <t>PAFthfinder</t>
  </si>
  <si>
    <t>AFvenger</t>
  </si>
  <si>
    <t>SIERRAF</t>
  </si>
  <si>
    <t>TRAFILBLAF</t>
  </si>
  <si>
    <t>MAFke CAFountry</t>
  </si>
  <si>
    <t xml:space="preserve"> CAFSAF time</t>
  </si>
  <si>
    <t>GrAFnd CAFherokee</t>
  </si>
  <si>
    <t>CAFompAFn</t>
  </si>
  <si>
    <t>CAFOMPAFSS</t>
  </si>
  <si>
    <t>AFSCAFENT</t>
  </si>
  <si>
    <t>CAFOROLLAF</t>
  </si>
  <si>
    <t>CAF-MAFX</t>
  </si>
  <si>
    <t>CAFhAFrger</t>
  </si>
  <si>
    <t>AFCAFdiAF</t>
  </si>
  <si>
    <t>PONTIAFC</t>
  </si>
  <si>
    <t>TAFCOMAF</t>
  </si>
  <si>
    <t>OUTBAFCK</t>
  </si>
  <si>
    <t>LAFCROSSE</t>
  </si>
  <si>
    <t>AFCAFDIAF</t>
  </si>
  <si>
    <t>AFCCAFORD</t>
  </si>
  <si>
    <t>CAFr Type</t>
  </si>
  <si>
    <t>CAFr pull in time</t>
  </si>
  <si>
    <t>PAFCifiCAF</t>
  </si>
  <si>
    <t>CAFSCAFDAF</t>
  </si>
  <si>
    <t>CAFrAFvAFn</t>
  </si>
  <si>
    <t>ESCAFPE</t>
  </si>
  <si>
    <t>GRAFND CAFRAFVAFN</t>
  </si>
  <si>
    <t>GrAFn CAFrAFvAFn</t>
  </si>
  <si>
    <t>S. CAF AFC spAFrk plugs</t>
  </si>
  <si>
    <t>PAFCIFICAF</t>
  </si>
  <si>
    <t>S. AFdding Trans</t>
  </si>
  <si>
    <t>S. AF CAF AFC Filter skid Plate</t>
  </si>
  <si>
    <t>Trans. S + Skid Plate</t>
  </si>
  <si>
    <t>S.CAF. AF. + Skid Plate</t>
  </si>
  <si>
    <t>Trans. + Skid Plate</t>
  </si>
  <si>
    <t>S. AF, CAF, ROT, BFF + Skid Plate</t>
  </si>
  <si>
    <t>S. CAF, AFC + Skid Plate</t>
  </si>
  <si>
    <t>S. RDS. BTCAF + Skid Plate</t>
  </si>
  <si>
    <t>S. + Skid Plate</t>
  </si>
  <si>
    <t>S. + CAFustomer goes Skid Plate</t>
  </si>
  <si>
    <t>RDSS + Skid Plate</t>
  </si>
  <si>
    <t>S. Trans. CAF. AFC Skid plAFt</t>
  </si>
  <si>
    <t>S. BTCAF + TCS + Seeet Plate</t>
  </si>
  <si>
    <t>S. AF. AFC. MIN, RDS. Trans, WB</t>
  </si>
  <si>
    <t>SilveRADo</t>
  </si>
  <si>
    <t>S. Trans. RAD Moved to BAFy 2</t>
  </si>
  <si>
    <t>S. BAT. MIN. CAF. AF. RAD.</t>
  </si>
  <si>
    <t>SilveRADo 1500</t>
  </si>
  <si>
    <t>R</t>
  </si>
  <si>
    <t>CAFX</t>
  </si>
  <si>
    <t>CRY</t>
  </si>
  <si>
    <t xml:space="preserve"> Truck</t>
  </si>
  <si>
    <t>Non Value Added</t>
  </si>
  <si>
    <t>S. BAT Cleaning</t>
  </si>
  <si>
    <t>S. AFC. Rot + AF</t>
  </si>
  <si>
    <t>ServiCAFe CAll time</t>
  </si>
  <si>
    <t>TotAl ServiCAFe time</t>
  </si>
  <si>
    <t>TotAl BAFy Time</t>
  </si>
  <si>
    <t>CAFus. TotAl wAFit time</t>
  </si>
  <si>
    <t>AltimAF</t>
  </si>
  <si>
    <t>EnCAlAFve</t>
  </si>
  <si>
    <t>IMPAlAF</t>
  </si>
  <si>
    <t>MAlIBU</t>
  </si>
  <si>
    <t>S. AF. Al CAFus drove in</t>
  </si>
  <si>
    <t>AlTIMAF</t>
  </si>
  <si>
    <t>ImpAlAF</t>
  </si>
  <si>
    <t>ENCAlAFVE</t>
  </si>
  <si>
    <t>REGAl</t>
  </si>
  <si>
    <t>S. Al</t>
  </si>
  <si>
    <t>S. CAF Al</t>
  </si>
  <si>
    <t>chrysler</t>
  </si>
  <si>
    <t>Customer Parkingg</t>
  </si>
  <si>
    <t>Rock Get Readyy</t>
  </si>
  <si>
    <t>Call Service</t>
  </si>
  <si>
    <t>service time in minutes</t>
  </si>
  <si>
    <t>total process time IN MINUTES</t>
  </si>
  <si>
    <t>total Bay time in minutes</t>
  </si>
  <si>
    <t>Interarrival time</t>
  </si>
  <si>
    <t>Iner arrival time</t>
  </si>
  <si>
    <t>Interarrival time in minutes</t>
  </si>
  <si>
    <t>internal Non Value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</si>
</sst>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06"/>
  <sheetViews>
    <sheetView topLeftCell="L1" workbookViewId="0">
      <selection activeCell="AA2" sqref="AA2:AA206"/>
    </sheetView>
  </sheetViews>
  <sheetFormatPr defaultRowHeight="15" x14ac:dyDescent="0.25"/>
  <cols>
    <col min="3" max="3" width="14" customWidth="1"/>
    <col min="4" max="4" width="6.140625" customWidth="1"/>
    <col min="5" max="5" width="17.7109375" customWidth="1"/>
    <col min="6" max="6" width="15.5703125" customWidth="1"/>
    <col min="7" max="7" width="26.140625" customWidth="1"/>
    <col min="8" max="8" width="16" customWidth="1"/>
    <col min="9" max="10" width="18.42578125" customWidth="1"/>
    <col min="11" max="11" width="24" customWidth="1"/>
    <col min="12" max="12" width="19.140625" customWidth="1"/>
    <col min="13" max="13" width="26.85546875" customWidth="1"/>
    <col min="14" max="14" width="25.28515625" customWidth="1"/>
    <col min="19" max="19" width="15.42578125" customWidth="1"/>
    <col min="20" max="20" width="17" customWidth="1"/>
    <col min="21" max="21" width="20.42578125" customWidth="1"/>
    <col min="22" max="22" width="18.5703125" customWidth="1"/>
    <col min="23" max="23" width="18.7109375" customWidth="1"/>
    <col min="24" max="24" width="17.7109375" customWidth="1"/>
    <col min="25" max="25" width="24.28515625" customWidth="1"/>
    <col min="26" max="26" width="24.42578125" customWidth="1"/>
  </cols>
  <sheetData>
    <row r="1" spans="1:27" x14ac:dyDescent="0.25">
      <c r="A1" t="s">
        <v>575</v>
      </c>
      <c r="B1" t="s">
        <v>576</v>
      </c>
      <c r="C1" t="s">
        <v>2</v>
      </c>
      <c r="D1" t="s">
        <v>577</v>
      </c>
      <c r="E1" s="1" t="s">
        <v>710</v>
      </c>
      <c r="F1" s="1" t="s">
        <v>40</v>
      </c>
      <c r="G1" s="1" t="s">
        <v>41</v>
      </c>
      <c r="H1" s="1" t="s">
        <v>711</v>
      </c>
      <c r="I1" s="1" t="s">
        <v>712</v>
      </c>
      <c r="J1" s="1" t="s">
        <v>5</v>
      </c>
      <c r="K1" s="1" t="s">
        <v>6</v>
      </c>
      <c r="L1" s="1" t="s">
        <v>7</v>
      </c>
      <c r="M1" s="1" t="s">
        <v>43</v>
      </c>
      <c r="N1" s="1" t="s">
        <v>44</v>
      </c>
      <c r="O1" s="1" t="s">
        <v>659</v>
      </c>
      <c r="P1" s="1" t="s">
        <v>643</v>
      </c>
      <c r="S1" s="1" t="s">
        <v>539</v>
      </c>
      <c r="T1" s="1" t="s">
        <v>660</v>
      </c>
      <c r="U1" s="1" t="s">
        <v>694</v>
      </c>
      <c r="V1" s="1" t="s">
        <v>552</v>
      </c>
      <c r="W1" s="1" t="s">
        <v>644</v>
      </c>
      <c r="X1" s="1" t="s">
        <v>695</v>
      </c>
      <c r="Y1" s="1" t="s">
        <v>696</v>
      </c>
      <c r="Z1" s="1" t="s">
        <v>697</v>
      </c>
      <c r="AA1" s="1" t="s">
        <v>716</v>
      </c>
    </row>
    <row r="2" spans="1:27" x14ac:dyDescent="0.25">
      <c r="A2">
        <v>2</v>
      </c>
      <c r="B2" t="s">
        <v>8</v>
      </c>
      <c r="C2" t="s">
        <v>17</v>
      </c>
      <c r="D2">
        <v>2016</v>
      </c>
      <c r="E2" s="1">
        <v>0.59635416666666663</v>
      </c>
      <c r="F2" s="1" t="s">
        <v>47</v>
      </c>
      <c r="G2" s="1">
        <v>0.59751157407407407</v>
      </c>
      <c r="H2" s="1" t="s">
        <v>49</v>
      </c>
      <c r="I2" s="1" t="s">
        <v>48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578</v>
      </c>
      <c r="P2" s="1" t="s">
        <v>55</v>
      </c>
      <c r="S2" s="1">
        <f>F2-E2</f>
        <v>2.8935185185186008E-4</v>
      </c>
      <c r="T2" s="1">
        <f>G2-F2</f>
        <v>8.6805555555558023E-4</v>
      </c>
      <c r="U2" s="1">
        <f>I2-G2</f>
        <v>1.4467592592593004E-3</v>
      </c>
      <c r="V2" s="1">
        <f>H2-G2</f>
        <v>3.8194444444444864E-3</v>
      </c>
      <c r="W2" s="1">
        <f>J2-H2</f>
        <v>1.6203703703703276E-3</v>
      </c>
      <c r="X2" s="1">
        <f>K2-I2</f>
        <v>6.6550925925925597E-3</v>
      </c>
      <c r="Y2" s="1">
        <f>L2-G2</f>
        <v>8.5995370370370861E-3</v>
      </c>
      <c r="Z2" s="1">
        <f>M2-E2</f>
        <v>1.0115740740740731E-2</v>
      </c>
      <c r="AA2" s="1">
        <f>T2+S2</f>
        <v>1.1574074074074403E-3</v>
      </c>
    </row>
    <row r="3" spans="1:27" x14ac:dyDescent="0.25">
      <c r="A3">
        <v>4</v>
      </c>
      <c r="B3" t="s">
        <v>709</v>
      </c>
      <c r="C3" t="s">
        <v>37</v>
      </c>
      <c r="D3">
        <v>2006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546</v>
      </c>
      <c r="O3" s="1" t="s">
        <v>578</v>
      </c>
      <c r="P3" s="1" t="s">
        <v>55</v>
      </c>
      <c r="S3" s="1">
        <f t="shared" ref="S3:S66" si="0">F3-E3</f>
        <v>1.7361111111113825E-4</v>
      </c>
      <c r="T3" s="1">
        <f t="shared" ref="T3:T66" si="1">G3-F3</f>
        <v>1.388888888888884E-3</v>
      </c>
      <c r="U3" s="1">
        <f t="shared" ref="U3:U66" si="2">I3-G3</f>
        <v>1.0532407407407574E-3</v>
      </c>
      <c r="V3" s="1">
        <f t="shared" ref="V3:V66" si="3">H3-G3</f>
        <v>2.1527777777777812E-3</v>
      </c>
      <c r="W3" s="1">
        <f t="shared" ref="W3:W66" si="4">J3-H3</f>
        <v>2.6851851851851238E-3</v>
      </c>
      <c r="X3" s="1">
        <f t="shared" ref="X3:X66" si="5">K3-I3</f>
        <v>8.8310185185185297E-3</v>
      </c>
      <c r="Y3" s="1">
        <f t="shared" ref="Y3:Y66" si="6">L3-G3</f>
        <v>1.0208333333333264E-2</v>
      </c>
      <c r="Z3" s="1">
        <f t="shared" ref="Z3:Z66" si="7">M3-E3</f>
        <v>1.2928240740740726E-2</v>
      </c>
      <c r="AA3" s="1">
        <f t="shared" ref="AA3:AA66" si="8">T3+S3</f>
        <v>1.5625000000000222E-3</v>
      </c>
    </row>
    <row r="4" spans="1:27" x14ac:dyDescent="0.25">
      <c r="A4">
        <v>2</v>
      </c>
      <c r="B4" t="s">
        <v>9</v>
      </c>
      <c r="C4" t="s">
        <v>18</v>
      </c>
      <c r="D4">
        <v>2017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54</v>
      </c>
      <c r="O4" s="1" t="s">
        <v>34</v>
      </c>
      <c r="P4" s="1" t="s">
        <v>55</v>
      </c>
      <c r="S4" s="1">
        <f t="shared" si="0"/>
        <v>2.777777777778212E-4</v>
      </c>
      <c r="T4" s="1">
        <f t="shared" si="1"/>
        <v>2.1064814814814037E-3</v>
      </c>
      <c r="U4" s="1">
        <f t="shared" si="2"/>
        <v>1.0185185185185297E-3</v>
      </c>
      <c r="V4" s="1">
        <f t="shared" si="3"/>
        <v>2.5925925925927018E-3</v>
      </c>
      <c r="W4" s="1">
        <f t="shared" si="4"/>
        <v>5.8680555555554736E-3</v>
      </c>
      <c r="X4" s="1">
        <f t="shared" si="5"/>
        <v>1.215277777777779E-2</v>
      </c>
      <c r="Y4" s="1">
        <f t="shared" si="6"/>
        <v>1.4583333333333393E-2</v>
      </c>
      <c r="Z4" s="1">
        <f t="shared" si="7"/>
        <v>1.8125000000000058E-2</v>
      </c>
      <c r="AA4" s="1">
        <f t="shared" si="8"/>
        <v>2.3842592592592249E-3</v>
      </c>
    </row>
    <row r="5" spans="1:27" x14ac:dyDescent="0.25">
      <c r="A5">
        <v>1</v>
      </c>
      <c r="B5" t="s">
        <v>553</v>
      </c>
      <c r="C5" t="s">
        <v>19</v>
      </c>
      <c r="D5">
        <v>2020</v>
      </c>
      <c r="E5" s="1">
        <v>0.60671296296296295</v>
      </c>
      <c r="F5" s="1">
        <v>0.60689814814814813</v>
      </c>
      <c r="G5" s="1" t="s">
        <v>77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83</v>
      </c>
      <c r="N5" s="1" t="s">
        <v>671</v>
      </c>
      <c r="O5" s="1" t="s">
        <v>554</v>
      </c>
      <c r="P5" s="1" t="s">
        <v>55</v>
      </c>
      <c r="S5" s="1">
        <f t="shared" si="0"/>
        <v>1.8518518518517713E-4</v>
      </c>
      <c r="T5" s="1">
        <f t="shared" si="1"/>
        <v>1.4583333333333393E-3</v>
      </c>
      <c r="U5" s="1">
        <f t="shared" si="2"/>
        <v>7.2916666666666963E-4</v>
      </c>
      <c r="V5" s="1">
        <f t="shared" si="3"/>
        <v>3.3564814814814881E-3</v>
      </c>
      <c r="W5" s="1">
        <f t="shared" si="4"/>
        <v>3.2754629629629939E-3</v>
      </c>
      <c r="X5" s="1">
        <f t="shared" si="5"/>
        <v>1.6608796296296302E-2</v>
      </c>
      <c r="Y5" s="1">
        <f>L5-G5</f>
        <v>3.1354166666666683E-2</v>
      </c>
      <c r="Z5" s="1">
        <f t="shared" si="7"/>
        <v>3.3449074074074048E-2</v>
      </c>
      <c r="AA5" s="1">
        <f t="shared" si="8"/>
        <v>1.6435185185185164E-3</v>
      </c>
    </row>
    <row r="6" spans="1:27" x14ac:dyDescent="0.25">
      <c r="A6">
        <v>4</v>
      </c>
      <c r="B6" t="s">
        <v>553</v>
      </c>
      <c r="C6" t="s">
        <v>20</v>
      </c>
      <c r="D6">
        <v>2004</v>
      </c>
      <c r="E6" s="1" t="s">
        <v>85</v>
      </c>
      <c r="F6" s="1" t="s">
        <v>86</v>
      </c>
      <c r="G6" s="1" t="s">
        <v>87</v>
      </c>
      <c r="H6" s="1" t="s">
        <v>88</v>
      </c>
      <c r="I6" s="1" t="s">
        <v>89</v>
      </c>
      <c r="J6" s="1" t="s">
        <v>90</v>
      </c>
      <c r="K6" s="1" t="s">
        <v>91</v>
      </c>
      <c r="L6" s="1" t="s">
        <v>92</v>
      </c>
      <c r="M6" s="1" t="s">
        <v>93</v>
      </c>
      <c r="N6" s="1" t="s">
        <v>94</v>
      </c>
      <c r="O6" s="1" t="s">
        <v>554</v>
      </c>
      <c r="P6" s="1" t="s">
        <v>55</v>
      </c>
      <c r="S6" s="1">
        <f t="shared" si="0"/>
        <v>1.6203703703709937E-4</v>
      </c>
      <c r="T6" s="1">
        <f t="shared" si="1"/>
        <v>6.5393518518518379E-3</v>
      </c>
      <c r="U6" s="1">
        <f t="shared" si="2"/>
        <v>1.0995370370370239E-3</v>
      </c>
      <c r="V6" s="1">
        <f t="shared" si="3"/>
        <v>3.0439814814814392E-3</v>
      </c>
      <c r="W6" s="1">
        <f t="shared" si="4"/>
        <v>4.0740740740741188E-3</v>
      </c>
      <c r="X6" s="1">
        <f t="shared" si="5"/>
        <v>3.1574074074074088E-2</v>
      </c>
      <c r="Y6" s="1">
        <f t="shared" si="6"/>
        <v>3.3078703703703694E-2</v>
      </c>
      <c r="Z6" s="1">
        <f t="shared" si="7"/>
        <v>4.2175925925926006E-2</v>
      </c>
      <c r="AA6" s="1">
        <f t="shared" si="8"/>
        <v>6.7013888888889372E-3</v>
      </c>
    </row>
    <row r="7" spans="1:27" x14ac:dyDescent="0.25">
      <c r="A7">
        <v>3</v>
      </c>
      <c r="B7" t="s">
        <v>553</v>
      </c>
      <c r="C7" t="s">
        <v>683</v>
      </c>
      <c r="D7">
        <v>2011</v>
      </c>
      <c r="E7" s="1" t="s">
        <v>95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100</v>
      </c>
      <c r="K7" s="1" t="s">
        <v>101</v>
      </c>
      <c r="L7" s="1" t="s">
        <v>102</v>
      </c>
      <c r="M7" s="1" t="s">
        <v>103</v>
      </c>
      <c r="N7" s="1" t="s">
        <v>54</v>
      </c>
      <c r="O7" s="1" t="s">
        <v>555</v>
      </c>
      <c r="P7" s="1" t="s">
        <v>55</v>
      </c>
      <c r="S7" s="1">
        <f t="shared" si="0"/>
        <v>4.2824074074065965E-4</v>
      </c>
      <c r="T7" s="1">
        <f t="shared" si="1"/>
        <v>1.5000000000000013E-2</v>
      </c>
      <c r="U7" s="1">
        <f t="shared" si="2"/>
        <v>1.4351851851851505E-3</v>
      </c>
      <c r="V7" s="1">
        <f t="shared" si="3"/>
        <v>3.2060185185185386E-3</v>
      </c>
      <c r="W7" s="1">
        <f t="shared" si="4"/>
        <v>3.6226851851851594E-3</v>
      </c>
      <c r="X7" s="1">
        <f t="shared" si="5"/>
        <v>1.1354166666666665E-2</v>
      </c>
      <c r="Y7" s="1">
        <f t="shared" si="6"/>
        <v>1.446759259259256E-2</v>
      </c>
      <c r="Z7" s="1">
        <f t="shared" si="7"/>
        <v>3.0995370370370368E-2</v>
      </c>
      <c r="AA7" s="1">
        <f t="shared" si="8"/>
        <v>1.5428240740740673E-2</v>
      </c>
    </row>
    <row r="8" spans="1:27" x14ac:dyDescent="0.25">
      <c r="A8">
        <v>2</v>
      </c>
      <c r="B8" t="s">
        <v>8</v>
      </c>
      <c r="C8" t="s">
        <v>22</v>
      </c>
      <c r="D8">
        <v>2017</v>
      </c>
      <c r="E8" s="1" t="s">
        <v>104</v>
      </c>
      <c r="F8" s="1" t="s">
        <v>105</v>
      </c>
      <c r="G8" s="1" t="s">
        <v>106</v>
      </c>
      <c r="H8" s="1" t="s">
        <v>107</v>
      </c>
      <c r="I8" s="1" t="s">
        <v>108</v>
      </c>
      <c r="J8" s="1" t="s">
        <v>109</v>
      </c>
      <c r="K8" s="1" t="s">
        <v>110</v>
      </c>
      <c r="L8" s="1" t="s">
        <v>111</v>
      </c>
      <c r="M8" s="1" t="s">
        <v>112</v>
      </c>
      <c r="N8" s="1" t="s">
        <v>672</v>
      </c>
      <c r="O8" s="1" t="s">
        <v>578</v>
      </c>
      <c r="P8" s="1" t="s">
        <v>55</v>
      </c>
      <c r="S8" s="1">
        <f t="shared" si="0"/>
        <v>4.5138888888884843E-4</v>
      </c>
      <c r="T8" s="1">
        <f t="shared" si="1"/>
        <v>1.7268518518518516E-2</v>
      </c>
      <c r="U8" s="1">
        <f t="shared" si="2"/>
        <v>7.2916666666666963E-4</v>
      </c>
      <c r="V8" s="1">
        <f t="shared" si="3"/>
        <v>3.1365740740740833E-3</v>
      </c>
      <c r="W8" s="1">
        <f t="shared" si="4"/>
        <v>1.1805555555555181E-3</v>
      </c>
      <c r="X8" s="1">
        <f t="shared" si="5"/>
        <v>1.186342592592593E-2</v>
      </c>
      <c r="Y8" s="1">
        <f t="shared" si="6"/>
        <v>1.3101851851851865E-2</v>
      </c>
      <c r="Z8" s="1">
        <f t="shared" si="7"/>
        <v>3.1296296296296267E-2</v>
      </c>
      <c r="AA8" s="1">
        <f t="shared" si="8"/>
        <v>1.7719907407407365E-2</v>
      </c>
    </row>
    <row r="9" spans="1:27" x14ac:dyDescent="0.25">
      <c r="A9">
        <v>1</v>
      </c>
      <c r="B9" t="s">
        <v>553</v>
      </c>
      <c r="C9" t="s">
        <v>579</v>
      </c>
      <c r="D9">
        <v>2019</v>
      </c>
      <c r="E9" s="1" t="s">
        <v>114</v>
      </c>
      <c r="F9" s="1" t="s">
        <v>115</v>
      </c>
      <c r="G9" s="1" t="s">
        <v>116</v>
      </c>
      <c r="H9" s="1" t="s">
        <v>117</v>
      </c>
      <c r="I9" s="1" t="s">
        <v>118</v>
      </c>
      <c r="J9" s="1" t="s">
        <v>119</v>
      </c>
      <c r="K9" s="1" t="s">
        <v>120</v>
      </c>
      <c r="L9" s="1" t="s">
        <v>121</v>
      </c>
      <c r="M9" s="1" t="s">
        <v>122</v>
      </c>
      <c r="N9" s="1" t="s">
        <v>673</v>
      </c>
      <c r="O9" s="1" t="s">
        <v>34</v>
      </c>
      <c r="P9" s="1" t="s">
        <v>55</v>
      </c>
      <c r="S9" s="1">
        <f t="shared" si="0"/>
        <v>4.3981481481480955E-4</v>
      </c>
      <c r="T9" s="1">
        <f t="shared" si="1"/>
        <v>1.0474537037037046E-2</v>
      </c>
      <c r="U9" s="1">
        <f t="shared" si="2"/>
        <v>8.9120370370365798E-4</v>
      </c>
      <c r="V9" s="1">
        <f t="shared" si="3"/>
        <v>3.4722222222222099E-3</v>
      </c>
      <c r="W9" s="1">
        <f t="shared" si="4"/>
        <v>1.4583333333333393E-3</v>
      </c>
      <c r="X9" s="1">
        <f t="shared" si="5"/>
        <v>2.1967592592592622E-2</v>
      </c>
      <c r="Y9" s="1">
        <f t="shared" si="6"/>
        <v>2.5590277777777781E-2</v>
      </c>
      <c r="Z9" s="1">
        <f>M9-E9</f>
        <v>3.7534722222222205E-2</v>
      </c>
      <c r="AA9" s="1">
        <f t="shared" si="8"/>
        <v>1.0914351851851856E-2</v>
      </c>
    </row>
    <row r="10" spans="1:27" x14ac:dyDescent="0.25">
      <c r="A10">
        <v>2</v>
      </c>
      <c r="B10" t="s">
        <v>687</v>
      </c>
      <c r="C10" t="s">
        <v>124</v>
      </c>
      <c r="D10">
        <v>2002</v>
      </c>
      <c r="E10" s="1" t="s">
        <v>125</v>
      </c>
      <c r="F10" s="1" t="s">
        <v>126</v>
      </c>
      <c r="G10" s="1" t="s">
        <v>127</v>
      </c>
      <c r="H10" s="1" t="s">
        <v>128</v>
      </c>
      <c r="I10" s="1" t="s">
        <v>129</v>
      </c>
      <c r="J10" s="1" t="s">
        <v>130</v>
      </c>
      <c r="K10" s="1" t="s">
        <v>131</v>
      </c>
      <c r="L10" s="1" t="s">
        <v>132</v>
      </c>
      <c r="M10" s="1" t="s">
        <v>133</v>
      </c>
      <c r="N10" s="1" t="s">
        <v>54</v>
      </c>
      <c r="O10" s="1" t="s">
        <v>554</v>
      </c>
      <c r="P10" s="1" t="s">
        <v>55</v>
      </c>
      <c r="S10" s="1">
        <f t="shared" si="0"/>
        <v>2.662037037036713E-4</v>
      </c>
      <c r="T10" s="1">
        <f t="shared" si="1"/>
        <v>9.3865740740740611E-3</v>
      </c>
      <c r="U10" s="1">
        <f t="shared" si="2"/>
        <v>1.2731481481481621E-3</v>
      </c>
      <c r="V10" s="1">
        <f t="shared" si="3"/>
        <v>3.8657407407407529E-3</v>
      </c>
      <c r="W10" s="1">
        <f t="shared" si="4"/>
        <v>1.8518518518518823E-3</v>
      </c>
      <c r="X10" s="1">
        <f t="shared" si="5"/>
        <v>1.9560185185185208E-2</v>
      </c>
      <c r="Y10" s="1">
        <f t="shared" si="6"/>
        <v>2.1412037037036979E-2</v>
      </c>
      <c r="Z10" s="1">
        <f t="shared" si="7"/>
        <v>3.1643518518518432E-2</v>
      </c>
      <c r="AA10" s="1">
        <f t="shared" si="8"/>
        <v>9.6527777777777324E-3</v>
      </c>
    </row>
    <row r="11" spans="1:27" x14ac:dyDescent="0.25">
      <c r="A11">
        <v>3</v>
      </c>
      <c r="B11" t="s">
        <v>8</v>
      </c>
      <c r="C11" t="s">
        <v>24</v>
      </c>
      <c r="D11">
        <v>2016</v>
      </c>
      <c r="E11" s="1" t="s">
        <v>110</v>
      </c>
      <c r="F11" s="1" t="s">
        <v>134</v>
      </c>
      <c r="G11" s="1" t="s">
        <v>135</v>
      </c>
      <c r="H11" s="1" t="s">
        <v>136</v>
      </c>
      <c r="I11" s="1" t="s">
        <v>137</v>
      </c>
      <c r="J11" s="1" t="s">
        <v>138</v>
      </c>
      <c r="K11" s="1" t="s">
        <v>139</v>
      </c>
      <c r="L11" s="1" t="s">
        <v>140</v>
      </c>
      <c r="M11" s="1" t="s">
        <v>141</v>
      </c>
      <c r="N11" s="1" t="s">
        <v>142</v>
      </c>
      <c r="O11" s="1" t="s">
        <v>34</v>
      </c>
      <c r="P11" s="1" t="s">
        <v>55</v>
      </c>
      <c r="S11" s="1">
        <f t="shared" si="0"/>
        <v>2.8935185185186008E-4</v>
      </c>
      <c r="T11" s="1">
        <f t="shared" si="1"/>
        <v>1.0810185185185173E-2</v>
      </c>
      <c r="U11" s="1">
        <f t="shared" si="2"/>
        <v>1.2499999999999734E-3</v>
      </c>
      <c r="V11" s="1">
        <f t="shared" si="3"/>
        <v>3.2523148148148051E-3</v>
      </c>
      <c r="W11" s="1">
        <f t="shared" si="4"/>
        <v>2.7314814814815014E-3</v>
      </c>
      <c r="X11" s="1">
        <f t="shared" si="5"/>
        <v>7.0138888888889861E-3</v>
      </c>
      <c r="Y11" s="1">
        <f t="shared" si="6"/>
        <v>1.5821759259259327E-2</v>
      </c>
      <c r="Z11" s="1">
        <f t="shared" si="7"/>
        <v>2.7870370370370434E-2</v>
      </c>
      <c r="AA11" s="1">
        <f t="shared" si="8"/>
        <v>1.1099537037037033E-2</v>
      </c>
    </row>
    <row r="12" spans="1:27" x14ac:dyDescent="0.25">
      <c r="A12">
        <v>1</v>
      </c>
      <c r="B12" t="s">
        <v>709</v>
      </c>
      <c r="C12" t="s">
        <v>661</v>
      </c>
      <c r="D12">
        <v>2018</v>
      </c>
      <c r="E12" s="1" t="s">
        <v>143</v>
      </c>
      <c r="F12" s="1" t="s">
        <v>144</v>
      </c>
      <c r="G12" s="1" t="s">
        <v>145</v>
      </c>
      <c r="H12" s="1" t="s">
        <v>146</v>
      </c>
      <c r="I12" s="1" t="s">
        <v>147</v>
      </c>
      <c r="J12" s="1">
        <v>0.6716550925925926</v>
      </c>
      <c r="K12" s="1">
        <v>0.67631944444444447</v>
      </c>
      <c r="L12" s="1">
        <v>0.67679398148148151</v>
      </c>
      <c r="M12" s="1">
        <v>0.73290509259259262</v>
      </c>
      <c r="N12" s="1" t="s">
        <v>54</v>
      </c>
      <c r="O12" s="1" t="s">
        <v>34</v>
      </c>
      <c r="P12" s="1" t="s">
        <v>55</v>
      </c>
      <c r="S12" s="1">
        <f t="shared" si="0"/>
        <v>6.3657407407402555E-4</v>
      </c>
      <c r="T12" s="1">
        <f t="shared" si="1"/>
        <v>1.5995370370370354E-2</v>
      </c>
      <c r="U12" s="1">
        <f t="shared" si="2"/>
        <v>7.7546296296304718E-4</v>
      </c>
      <c r="V12" s="1">
        <f t="shared" si="3"/>
        <v>3.3449074074074492E-3</v>
      </c>
      <c r="W12" s="1">
        <f t="shared" si="4"/>
        <v>0</v>
      </c>
      <c r="X12" s="1">
        <f t="shared" si="5"/>
        <v>7.2337962962962798E-3</v>
      </c>
      <c r="Y12" s="1">
        <f t="shared" si="6"/>
        <v>8.4837962962963642E-3</v>
      </c>
      <c r="Z12" s="1">
        <f t="shared" si="7"/>
        <v>8.1226851851851856E-2</v>
      </c>
      <c r="AA12" s="1">
        <f t="shared" si="8"/>
        <v>1.663194444444438E-2</v>
      </c>
    </row>
    <row r="13" spans="1:27" x14ac:dyDescent="0.25">
      <c r="A13">
        <v>2</v>
      </c>
      <c r="B13" t="s">
        <v>11</v>
      </c>
      <c r="C13" t="s">
        <v>556</v>
      </c>
      <c r="D13">
        <v>2014</v>
      </c>
      <c r="E13" s="1" t="s">
        <v>149</v>
      </c>
      <c r="F13" s="1" t="s">
        <v>150</v>
      </c>
      <c r="G13" s="1" t="s">
        <v>151</v>
      </c>
      <c r="H13" s="1" t="s">
        <v>152</v>
      </c>
      <c r="I13" s="1" t="s">
        <v>153</v>
      </c>
      <c r="J13" s="1" t="s">
        <v>154</v>
      </c>
      <c r="K13" s="1" t="s">
        <v>155</v>
      </c>
      <c r="L13" s="1" t="s">
        <v>156</v>
      </c>
      <c r="M13" s="1" t="s">
        <v>157</v>
      </c>
      <c r="N13" s="1" t="s">
        <v>158</v>
      </c>
      <c r="O13" s="1" t="s">
        <v>34</v>
      </c>
      <c r="P13" s="1" t="s">
        <v>55</v>
      </c>
      <c r="S13" s="1">
        <f t="shared" si="0"/>
        <v>2.3148148148155467E-4</v>
      </c>
      <c r="T13" s="1">
        <f t="shared" si="1"/>
        <v>8.9583333333332904E-3</v>
      </c>
      <c r="U13" s="1">
        <f t="shared" si="2"/>
        <v>1.5740740740740611E-3</v>
      </c>
      <c r="V13" s="1">
        <f t="shared" si="3"/>
        <v>4.8148148148148273E-3</v>
      </c>
      <c r="W13" s="1">
        <f t="shared" si="4"/>
        <v>2.3148148148147696E-3</v>
      </c>
      <c r="X13" s="1">
        <f t="shared" si="5"/>
        <v>1.0624999999999996E-2</v>
      </c>
      <c r="Y13" s="1">
        <f t="shared" si="6"/>
        <v>1.2581018518518561E-2</v>
      </c>
      <c r="Z13" s="1">
        <f t="shared" si="7"/>
        <v>2.2569444444444531E-2</v>
      </c>
      <c r="AA13" s="1">
        <f t="shared" si="8"/>
        <v>9.1898148148148451E-3</v>
      </c>
    </row>
    <row r="14" spans="1:27" x14ac:dyDescent="0.25">
      <c r="A14">
        <v>1</v>
      </c>
      <c r="B14" t="s">
        <v>580</v>
      </c>
      <c r="C14" t="s">
        <v>581</v>
      </c>
      <c r="D14">
        <v>2024</v>
      </c>
      <c r="E14" s="1" t="s">
        <v>159</v>
      </c>
      <c r="F14" s="1" t="s">
        <v>160</v>
      </c>
      <c r="G14" s="1" t="s">
        <v>161</v>
      </c>
      <c r="H14" s="1" t="s">
        <v>162</v>
      </c>
      <c r="I14" s="1" t="s">
        <v>163</v>
      </c>
      <c r="J14" s="1" t="s">
        <v>164</v>
      </c>
      <c r="K14" s="1" t="s">
        <v>165</v>
      </c>
      <c r="L14" s="1" t="s">
        <v>166</v>
      </c>
      <c r="M14" s="1" t="s">
        <v>167</v>
      </c>
      <c r="N14" s="1" t="s">
        <v>168</v>
      </c>
      <c r="O14" s="1" t="s">
        <v>34</v>
      </c>
      <c r="P14" s="1" t="s">
        <v>169</v>
      </c>
      <c r="S14" s="1">
        <f t="shared" si="0"/>
        <v>1.7361111111113825E-4</v>
      </c>
      <c r="T14" s="1">
        <f t="shared" si="1"/>
        <v>6.9444444444444198E-3</v>
      </c>
      <c r="U14" s="1">
        <f t="shared" si="2"/>
        <v>8.4490740740739145E-4</v>
      </c>
      <c r="V14" s="1">
        <f t="shared" si="3"/>
        <v>2.0023148148148318E-3</v>
      </c>
      <c r="W14" s="1">
        <f t="shared" si="4"/>
        <v>1.5740740740740611E-3</v>
      </c>
      <c r="X14" s="1">
        <f t="shared" si="5"/>
        <v>5.5555555555555358E-3</v>
      </c>
      <c r="Y14" s="1">
        <f t="shared" si="6"/>
        <v>9.6643518518518823E-3</v>
      </c>
      <c r="Z14" s="1">
        <f t="shared" si="7"/>
        <v>1.8067129629629641E-2</v>
      </c>
      <c r="AA14" s="1">
        <f t="shared" si="8"/>
        <v>7.118055555555558E-3</v>
      </c>
    </row>
    <row r="15" spans="1:27" x14ac:dyDescent="0.25">
      <c r="A15">
        <v>2</v>
      </c>
      <c r="B15" t="s">
        <v>582</v>
      </c>
      <c r="C15" t="s">
        <v>583</v>
      </c>
      <c r="D15">
        <v>2012</v>
      </c>
      <c r="E15" s="1" t="s">
        <v>170</v>
      </c>
      <c r="F15" s="1" t="s">
        <v>171</v>
      </c>
      <c r="G15" s="1" t="s">
        <v>172</v>
      </c>
      <c r="H15" s="1" t="s">
        <v>173</v>
      </c>
      <c r="I15" s="1" t="s">
        <v>174</v>
      </c>
      <c r="J15" s="1" t="s">
        <v>175</v>
      </c>
      <c r="K15" s="1" t="s">
        <v>176</v>
      </c>
      <c r="L15" s="1" t="s">
        <v>177</v>
      </c>
      <c r="M15" s="1" t="s">
        <v>178</v>
      </c>
      <c r="N15" s="1" t="s">
        <v>179</v>
      </c>
      <c r="O15" s="1" t="s">
        <v>578</v>
      </c>
      <c r="P15" s="1" t="s">
        <v>584</v>
      </c>
      <c r="S15" s="1">
        <f t="shared" si="0"/>
        <v>7.8703703703708605E-4</v>
      </c>
      <c r="T15" s="1">
        <f t="shared" si="1"/>
        <v>3.9351851851850972E-3</v>
      </c>
      <c r="U15" s="1">
        <f t="shared" si="2"/>
        <v>9.0277777777780788E-4</v>
      </c>
      <c r="V15" s="1">
        <f t="shared" si="3"/>
        <v>2.7546296296296902E-3</v>
      </c>
      <c r="W15" s="1">
        <f t="shared" si="4"/>
        <v>1.1574074074074403E-3</v>
      </c>
      <c r="X15" s="1">
        <f t="shared" si="5"/>
        <v>6.6898148148147873E-3</v>
      </c>
      <c r="Y15" s="1">
        <f t="shared" si="6"/>
        <v>1.201388888888888E-2</v>
      </c>
      <c r="Z15" s="1">
        <f t="shared" si="7"/>
        <v>1.7280092592592555E-2</v>
      </c>
      <c r="AA15" s="1">
        <f t="shared" si="8"/>
        <v>4.7222222222221832E-3</v>
      </c>
    </row>
    <row r="16" spans="1:27" x14ac:dyDescent="0.25">
      <c r="A16">
        <v>1</v>
      </c>
      <c r="B16" t="s">
        <v>585</v>
      </c>
      <c r="C16" t="s">
        <v>698</v>
      </c>
      <c r="D16">
        <v>2013</v>
      </c>
      <c r="E16" s="1" t="s">
        <v>181</v>
      </c>
      <c r="F16" s="1" t="s">
        <v>182</v>
      </c>
      <c r="G16" s="1" t="s">
        <v>183</v>
      </c>
      <c r="H16" s="1" t="s">
        <v>184</v>
      </c>
      <c r="I16" s="1" t="s">
        <v>185</v>
      </c>
      <c r="J16" s="1" t="s">
        <v>186</v>
      </c>
      <c r="K16" s="1" t="s">
        <v>187</v>
      </c>
      <c r="L16" s="1" t="s">
        <v>188</v>
      </c>
      <c r="M16" s="1" t="s">
        <v>189</v>
      </c>
      <c r="N16" s="1" t="s">
        <v>54</v>
      </c>
      <c r="O16" s="1" t="s">
        <v>578</v>
      </c>
      <c r="P16" s="1" t="s">
        <v>169</v>
      </c>
      <c r="S16" s="1">
        <f t="shared" si="0"/>
        <v>6.3657407407413658E-4</v>
      </c>
      <c r="T16" s="1">
        <f t="shared" si="1"/>
        <v>3.0787037037036669E-3</v>
      </c>
      <c r="U16" s="1">
        <f t="shared" si="2"/>
        <v>9.3750000000003553E-4</v>
      </c>
      <c r="V16" s="1">
        <f t="shared" si="3"/>
        <v>2.3032407407407307E-3</v>
      </c>
      <c r="W16" s="1">
        <f t="shared" si="4"/>
        <v>1.3657407407408062E-3</v>
      </c>
      <c r="X16" s="1">
        <f t="shared" si="5"/>
        <v>5.5555555555555358E-3</v>
      </c>
      <c r="Y16" s="1">
        <f t="shared" si="6"/>
        <v>6.6203703703704431E-3</v>
      </c>
      <c r="Z16" s="1">
        <f t="shared" si="7"/>
        <v>1.2418981481481572E-2</v>
      </c>
      <c r="AA16" s="1">
        <f t="shared" si="8"/>
        <v>3.7152777777778034E-3</v>
      </c>
    </row>
    <row r="17" spans="1:27" x14ac:dyDescent="0.25">
      <c r="A17">
        <v>1</v>
      </c>
      <c r="B17" t="s">
        <v>586</v>
      </c>
      <c r="C17" t="s">
        <v>557</v>
      </c>
      <c r="D17">
        <v>2009</v>
      </c>
      <c r="E17" s="1" t="s">
        <v>190</v>
      </c>
      <c r="F17" s="1" t="s">
        <v>191</v>
      </c>
      <c r="G17" s="1" t="s">
        <v>192</v>
      </c>
      <c r="H17" s="1" t="s">
        <v>193</v>
      </c>
      <c r="I17" s="1" t="s">
        <v>194</v>
      </c>
      <c r="J17" s="1" t="s">
        <v>195</v>
      </c>
      <c r="K17" s="1" t="s">
        <v>196</v>
      </c>
      <c r="L17" s="1" t="s">
        <v>197</v>
      </c>
      <c r="M17" s="1" t="s">
        <v>198</v>
      </c>
      <c r="N17" s="1" t="s">
        <v>692</v>
      </c>
      <c r="O17" s="1" t="s">
        <v>578</v>
      </c>
      <c r="P17" s="1" t="s">
        <v>169</v>
      </c>
      <c r="S17" s="1">
        <f t="shared" si="0"/>
        <v>4.3981481481480955E-4</v>
      </c>
      <c r="T17" s="1">
        <f t="shared" si="1"/>
        <v>3.4375000000000933E-3</v>
      </c>
      <c r="U17" s="1">
        <f t="shared" si="2"/>
        <v>7.5231481481474738E-4</v>
      </c>
      <c r="V17" s="1">
        <f t="shared" si="3"/>
        <v>3.76157407407407E-3</v>
      </c>
      <c r="W17" s="1">
        <f t="shared" si="4"/>
        <v>3.1249999999999334E-3</v>
      </c>
      <c r="X17" s="1">
        <f t="shared" si="5"/>
        <v>8.5300925925926308E-3</v>
      </c>
      <c r="Y17" s="1">
        <f t="shared" si="6"/>
        <v>1.0381944444444402E-2</v>
      </c>
      <c r="Z17" s="1">
        <f t="shared" si="7"/>
        <v>1.5833333333333366E-2</v>
      </c>
      <c r="AA17" s="1">
        <f t="shared" si="8"/>
        <v>3.8773148148149028E-3</v>
      </c>
    </row>
    <row r="18" spans="1:27" x14ac:dyDescent="0.25">
      <c r="A18">
        <v>1</v>
      </c>
      <c r="B18" t="s">
        <v>587</v>
      </c>
      <c r="C18" t="s">
        <v>588</v>
      </c>
      <c r="D18">
        <v>2020</v>
      </c>
      <c r="E18" s="1" t="s">
        <v>200</v>
      </c>
      <c r="F18" s="1" t="s">
        <v>201</v>
      </c>
      <c r="G18" s="1" t="s">
        <v>202</v>
      </c>
      <c r="H18" s="1" t="s">
        <v>203</v>
      </c>
      <c r="I18" s="1" t="s">
        <v>204</v>
      </c>
      <c r="J18" s="1" t="s">
        <v>205</v>
      </c>
      <c r="K18" s="1" t="s">
        <v>206</v>
      </c>
      <c r="L18" s="1" t="s">
        <v>207</v>
      </c>
      <c r="M18" s="1" t="s">
        <v>208</v>
      </c>
      <c r="N18" s="1" t="s">
        <v>54</v>
      </c>
      <c r="O18" s="1" t="s">
        <v>34</v>
      </c>
      <c r="P18" s="1" t="s">
        <v>584</v>
      </c>
      <c r="S18" s="1">
        <f t="shared" si="0"/>
        <v>2.3148148148144365E-4</v>
      </c>
      <c r="T18" s="1">
        <f t="shared" si="1"/>
        <v>1.3310185185185786E-3</v>
      </c>
      <c r="U18" s="1">
        <f t="shared" si="2"/>
        <v>1.0416666666666075E-3</v>
      </c>
      <c r="V18" s="1">
        <f t="shared" si="3"/>
        <v>1.8518518518518823E-3</v>
      </c>
      <c r="W18" s="1">
        <f t="shared" si="4"/>
        <v>3.159722222222161E-3</v>
      </c>
      <c r="X18" s="1">
        <f t="shared" si="5"/>
        <v>5.2662037037037868E-3</v>
      </c>
      <c r="Y18" s="1">
        <f t="shared" si="6"/>
        <v>6.423611111111116E-3</v>
      </c>
      <c r="Z18" s="1">
        <f t="shared" si="7"/>
        <v>9.2708333333333393E-3</v>
      </c>
      <c r="AA18" s="1">
        <f t="shared" si="8"/>
        <v>1.5625000000000222E-3</v>
      </c>
    </row>
    <row r="19" spans="1:27" x14ac:dyDescent="0.25">
      <c r="A19">
        <v>1</v>
      </c>
      <c r="B19" t="s">
        <v>8</v>
      </c>
      <c r="C19" t="s">
        <v>558</v>
      </c>
      <c r="D19">
        <v>2012</v>
      </c>
      <c r="E19" s="1" t="s">
        <v>209</v>
      </c>
      <c r="F19" s="1" t="s">
        <v>210</v>
      </c>
      <c r="G19" s="1" t="s">
        <v>211</v>
      </c>
      <c r="H19" s="1" t="s">
        <v>212</v>
      </c>
      <c r="I19" s="1" t="s">
        <v>213</v>
      </c>
      <c r="J19" s="1" t="s">
        <v>214</v>
      </c>
      <c r="K19" s="1" t="s">
        <v>215</v>
      </c>
      <c r="L19" s="1" t="s">
        <v>216</v>
      </c>
      <c r="M19" s="1" t="s">
        <v>217</v>
      </c>
      <c r="N19" s="1" t="s">
        <v>218</v>
      </c>
      <c r="O19" s="1" t="s">
        <v>578</v>
      </c>
      <c r="P19" s="1" t="s">
        <v>55</v>
      </c>
      <c r="S19" s="1">
        <f t="shared" si="0"/>
        <v>4.745370370370372E-4</v>
      </c>
      <c r="T19" s="1">
        <f t="shared" si="1"/>
        <v>7.523148148148584E-4</v>
      </c>
      <c r="U19" s="1">
        <f t="shared" si="2"/>
        <v>6.3657407407402555E-4</v>
      </c>
      <c r="V19" s="1">
        <f t="shared" si="3"/>
        <v>1.9907407407407929E-3</v>
      </c>
      <c r="W19" s="1">
        <f t="shared" si="4"/>
        <v>2.7314814814813904E-3</v>
      </c>
      <c r="X19" s="1">
        <f t="shared" si="5"/>
        <v>6.423611111111116E-3</v>
      </c>
      <c r="Y19" s="1">
        <f t="shared" si="6"/>
        <v>7.4074074074074181E-3</v>
      </c>
      <c r="Z19" s="1">
        <f t="shared" si="7"/>
        <v>9.8379629629630205E-3</v>
      </c>
      <c r="AA19" s="1">
        <f t="shared" si="8"/>
        <v>1.2268518518518956E-3</v>
      </c>
    </row>
    <row r="20" spans="1:27" x14ac:dyDescent="0.25">
      <c r="A20">
        <v>1</v>
      </c>
      <c r="B20" t="s">
        <v>585</v>
      </c>
      <c r="C20" t="s">
        <v>32</v>
      </c>
      <c r="D20">
        <v>2011</v>
      </c>
      <c r="E20" s="1" t="s">
        <v>219</v>
      </c>
      <c r="F20" s="1" t="s">
        <v>220</v>
      </c>
      <c r="G20" s="1" t="s">
        <v>221</v>
      </c>
      <c r="H20" s="1" t="s">
        <v>222</v>
      </c>
      <c r="I20" s="1" t="s">
        <v>223</v>
      </c>
      <c r="J20" s="1" t="s">
        <v>224</v>
      </c>
      <c r="K20" s="1" t="s">
        <v>225</v>
      </c>
      <c r="L20" s="1" t="s">
        <v>226</v>
      </c>
      <c r="M20" s="1" t="s">
        <v>227</v>
      </c>
      <c r="N20" s="1" t="s">
        <v>228</v>
      </c>
      <c r="O20" s="1" t="s">
        <v>34</v>
      </c>
      <c r="P20" s="1" t="s">
        <v>169</v>
      </c>
      <c r="S20" s="1">
        <f t="shared" si="0"/>
        <v>2.3148148148144365E-4</v>
      </c>
      <c r="T20" s="1">
        <f t="shared" si="1"/>
        <v>6.9444444444444198E-4</v>
      </c>
      <c r="U20" s="1">
        <f t="shared" si="2"/>
        <v>1.0532407407407574E-3</v>
      </c>
      <c r="V20" s="1">
        <f t="shared" si="3"/>
        <v>2.6157407407407796E-3</v>
      </c>
      <c r="W20" s="1">
        <f t="shared" si="4"/>
        <v>2.4537037037036802E-3</v>
      </c>
      <c r="X20" s="1">
        <f t="shared" si="5"/>
        <v>7.0833333333333304E-3</v>
      </c>
      <c r="Y20" s="1">
        <f t="shared" si="6"/>
        <v>8.3796296296296813E-3</v>
      </c>
      <c r="Z20" s="1">
        <f t="shared" si="7"/>
        <v>1.0682870370370412E-2</v>
      </c>
      <c r="AA20" s="1">
        <f t="shared" si="8"/>
        <v>9.2592592592588563E-4</v>
      </c>
    </row>
    <row r="21" spans="1:27" x14ac:dyDescent="0.25">
      <c r="A21">
        <v>1</v>
      </c>
      <c r="B21" t="s">
        <v>559</v>
      </c>
      <c r="C21" t="s">
        <v>229</v>
      </c>
      <c r="D21">
        <v>2019</v>
      </c>
      <c r="E21" s="1" t="s">
        <v>230</v>
      </c>
      <c r="F21" s="1" t="s">
        <v>231</v>
      </c>
      <c r="G21" s="1" t="s">
        <v>232</v>
      </c>
      <c r="H21" s="1" t="s">
        <v>233</v>
      </c>
      <c r="I21" s="1" t="s">
        <v>234</v>
      </c>
      <c r="J21" s="1" t="s">
        <v>235</v>
      </c>
      <c r="K21" s="1" t="s">
        <v>236</v>
      </c>
      <c r="L21" s="1" t="s">
        <v>237</v>
      </c>
      <c r="M21" s="1" t="s">
        <v>238</v>
      </c>
      <c r="N21" s="1" t="s">
        <v>54</v>
      </c>
      <c r="O21" s="1" t="s">
        <v>34</v>
      </c>
      <c r="P21" s="1" t="s">
        <v>55</v>
      </c>
      <c r="S21" s="1">
        <f t="shared" si="0"/>
        <v>2.4305555555548253E-4</v>
      </c>
      <c r="T21" s="1">
        <f t="shared" si="1"/>
        <v>8.5648148148154135E-4</v>
      </c>
      <c r="U21" s="1">
        <f t="shared" si="2"/>
        <v>6.5972222222221433E-4</v>
      </c>
      <c r="V21" s="1">
        <f t="shared" si="3"/>
        <v>2.0254629629629095E-3</v>
      </c>
      <c r="W21" s="1">
        <f t="shared" si="4"/>
        <v>3.1712962962963109E-3</v>
      </c>
      <c r="X21" s="1">
        <f t="shared" si="5"/>
        <v>8.3217592592592649E-3</v>
      </c>
      <c r="Y21" s="1">
        <f t="shared" si="6"/>
        <v>9.4328703703703276E-3</v>
      </c>
      <c r="Z21" s="1">
        <f t="shared" si="7"/>
        <v>1.4247685185185155E-2</v>
      </c>
      <c r="AA21" s="1">
        <f t="shared" si="8"/>
        <v>1.0995370370370239E-3</v>
      </c>
    </row>
    <row r="22" spans="1:27" x14ac:dyDescent="0.25">
      <c r="A22">
        <v>2</v>
      </c>
      <c r="B22" t="s">
        <v>8</v>
      </c>
      <c r="C22" t="s">
        <v>239</v>
      </c>
      <c r="D22">
        <v>2013</v>
      </c>
      <c r="E22" s="1" t="s">
        <v>240</v>
      </c>
      <c r="F22" s="1" t="s">
        <v>241</v>
      </c>
      <c r="G22" s="1" t="s">
        <v>242</v>
      </c>
      <c r="H22" s="1" t="s">
        <v>243</v>
      </c>
      <c r="I22" s="1" t="s">
        <v>244</v>
      </c>
      <c r="J22" s="1" t="s">
        <v>245</v>
      </c>
      <c r="K22" s="1" t="s">
        <v>246</v>
      </c>
      <c r="L22" s="1" t="s">
        <v>247</v>
      </c>
      <c r="M22" s="1" t="s">
        <v>248</v>
      </c>
      <c r="N22" s="1" t="s">
        <v>681</v>
      </c>
      <c r="O22" s="1" t="s">
        <v>555</v>
      </c>
      <c r="P22" s="1" t="s">
        <v>55</v>
      </c>
      <c r="S22" s="1">
        <f t="shared" si="0"/>
        <v>3.356481481481266E-4</v>
      </c>
      <c r="T22" s="1">
        <f t="shared" si="1"/>
        <v>7.7546296296293615E-4</v>
      </c>
      <c r="U22" s="1">
        <f t="shared" si="2"/>
        <v>7.7546296296293615E-4</v>
      </c>
      <c r="V22" s="1">
        <f t="shared" si="3"/>
        <v>2.8587962962962621E-3</v>
      </c>
      <c r="W22" s="1">
        <f t="shared" si="4"/>
        <v>3.5300925925926263E-3</v>
      </c>
      <c r="X22" s="1">
        <f t="shared" si="5"/>
        <v>1.1400462962963043E-2</v>
      </c>
      <c r="Y22" s="1">
        <f t="shared" si="6"/>
        <v>2.0659722222222232E-2</v>
      </c>
      <c r="Z22" s="1">
        <f t="shared" si="7"/>
        <v>2.4247685185185164E-2</v>
      </c>
      <c r="AA22" s="1">
        <f t="shared" si="8"/>
        <v>1.1111111111110628E-3</v>
      </c>
    </row>
    <row r="23" spans="1:27" x14ac:dyDescent="0.25">
      <c r="A23">
        <v>4</v>
      </c>
      <c r="B23" t="s">
        <v>560</v>
      </c>
      <c r="C23" t="s">
        <v>589</v>
      </c>
      <c r="D23">
        <v>2001</v>
      </c>
      <c r="E23" s="1" t="s">
        <v>252</v>
      </c>
      <c r="F23" s="1" t="s">
        <v>253</v>
      </c>
      <c r="G23" s="1" t="s">
        <v>254</v>
      </c>
      <c r="H23" s="1" t="s">
        <v>255</v>
      </c>
      <c r="I23" s="1" t="s">
        <v>256</v>
      </c>
      <c r="J23" s="1" t="s">
        <v>257</v>
      </c>
      <c r="K23" s="1" t="s">
        <v>258</v>
      </c>
      <c r="L23" s="1" t="s">
        <v>259</v>
      </c>
      <c r="M23" s="1" t="s">
        <v>260</v>
      </c>
      <c r="N23" s="1" t="s">
        <v>54</v>
      </c>
      <c r="O23" s="1" t="s">
        <v>578</v>
      </c>
      <c r="P23" s="1" t="s">
        <v>55</v>
      </c>
      <c r="S23" s="1">
        <f t="shared" si="0"/>
        <v>3.2407407407408773E-4</v>
      </c>
      <c r="T23" s="1">
        <f t="shared" si="1"/>
        <v>1.2731481481481621E-3</v>
      </c>
      <c r="U23" s="1">
        <f t="shared" si="2"/>
        <v>1.4583333333333393E-3</v>
      </c>
      <c r="V23" s="1">
        <f t="shared" si="3"/>
        <v>1.0810185185185173E-2</v>
      </c>
      <c r="W23" s="1">
        <f t="shared" si="4"/>
        <v>3.1828703703703498E-3</v>
      </c>
      <c r="X23" s="1">
        <f t="shared" si="5"/>
        <v>1.5972222222222165E-2</v>
      </c>
      <c r="Y23" s="1">
        <f t="shared" si="6"/>
        <v>1.7962962962962958E-2</v>
      </c>
      <c r="Z23" s="1">
        <f t="shared" si="7"/>
        <v>2.0972222222222281E-2</v>
      </c>
      <c r="AA23" s="1">
        <f t="shared" si="8"/>
        <v>1.5972222222222499E-3</v>
      </c>
    </row>
    <row r="24" spans="1:27" x14ac:dyDescent="0.25">
      <c r="A24">
        <v>1</v>
      </c>
      <c r="B24" t="s">
        <v>8</v>
      </c>
      <c r="C24" t="s">
        <v>17</v>
      </c>
      <c r="D24">
        <v>2012</v>
      </c>
      <c r="E24" s="1" t="s">
        <v>261</v>
      </c>
      <c r="F24" s="1" t="s">
        <v>262</v>
      </c>
      <c r="G24" s="1" t="s">
        <v>263</v>
      </c>
      <c r="H24" s="1" t="s">
        <v>264</v>
      </c>
      <c r="I24" s="1" t="s">
        <v>265</v>
      </c>
      <c r="J24" s="1" t="s">
        <v>266</v>
      </c>
      <c r="K24" s="1" t="s">
        <v>267</v>
      </c>
      <c r="L24" s="1" t="s">
        <v>268</v>
      </c>
      <c r="M24" s="1" t="s">
        <v>269</v>
      </c>
      <c r="N24" s="1" t="s">
        <v>270</v>
      </c>
      <c r="O24" s="1" t="s">
        <v>578</v>
      </c>
      <c r="P24" s="1" t="s">
        <v>55</v>
      </c>
      <c r="S24" s="1">
        <f t="shared" si="0"/>
        <v>2.7777777777771018E-4</v>
      </c>
      <c r="T24" s="1">
        <f t="shared" si="1"/>
        <v>8.5532407407408195E-3</v>
      </c>
      <c r="U24" s="1">
        <f t="shared" si="2"/>
        <v>8.9120370370365798E-4</v>
      </c>
      <c r="V24" s="1">
        <f t="shared" si="3"/>
        <v>6.0185185185185341E-3</v>
      </c>
      <c r="W24" s="1">
        <f t="shared" si="4"/>
        <v>2.1412037037036313E-3</v>
      </c>
      <c r="X24" s="1">
        <f t="shared" si="5"/>
        <v>9.8842592592592871E-3</v>
      </c>
      <c r="Y24" s="1">
        <f t="shared" si="6"/>
        <v>1.2685185185185133E-2</v>
      </c>
      <c r="Z24" s="1">
        <f>M24-E24</f>
        <v>2.2361111111111054E-2</v>
      </c>
      <c r="AA24" s="1">
        <f t="shared" si="8"/>
        <v>8.8310185185185297E-3</v>
      </c>
    </row>
    <row r="25" spans="1:27" x14ac:dyDescent="0.25">
      <c r="A25">
        <v>3</v>
      </c>
      <c r="B25" t="s">
        <v>560</v>
      </c>
      <c r="C25" t="s">
        <v>699</v>
      </c>
      <c r="D25">
        <v>2013</v>
      </c>
      <c r="E25" s="1" t="s">
        <v>272</v>
      </c>
      <c r="F25" s="1" t="s">
        <v>273</v>
      </c>
      <c r="G25" s="1" t="s">
        <v>274</v>
      </c>
      <c r="H25" s="1" t="s">
        <v>275</v>
      </c>
      <c r="I25" s="1" t="s">
        <v>276</v>
      </c>
      <c r="J25" s="1" t="s">
        <v>277</v>
      </c>
      <c r="K25" s="1" t="s">
        <v>278</v>
      </c>
      <c r="L25" s="1" t="s">
        <v>279</v>
      </c>
      <c r="M25" s="1" t="s">
        <v>280</v>
      </c>
      <c r="N25" s="1" t="s">
        <v>281</v>
      </c>
      <c r="O25" s="1" t="s">
        <v>34</v>
      </c>
      <c r="P25" s="1" t="s">
        <v>55</v>
      </c>
      <c r="S25" s="1">
        <f t="shared" si="0"/>
        <v>3.0092592592600997E-4</v>
      </c>
      <c r="T25" s="1">
        <f t="shared" si="1"/>
        <v>1.7245370370370106E-3</v>
      </c>
      <c r="U25" s="1">
        <f t="shared" si="2"/>
        <v>1.1111111111110628E-3</v>
      </c>
      <c r="V25" s="1">
        <f t="shared" si="3"/>
        <v>3.1944444444443887E-3</v>
      </c>
      <c r="W25" s="1">
        <f t="shared" si="4"/>
        <v>2.9745370370370949E-3</v>
      </c>
      <c r="X25" s="1">
        <f t="shared" si="5"/>
        <v>7.7662037037037335E-3</v>
      </c>
      <c r="Y25" s="1">
        <f t="shared" si="6"/>
        <v>1.1435185185185159E-2</v>
      </c>
      <c r="Z25" s="1">
        <f t="shared" si="7"/>
        <v>1.6574074074074074E-2</v>
      </c>
      <c r="AA25" s="1">
        <f t="shared" si="8"/>
        <v>2.0254629629630205E-3</v>
      </c>
    </row>
    <row r="26" spans="1:27" x14ac:dyDescent="0.25">
      <c r="A26">
        <v>1</v>
      </c>
      <c r="B26" t="s">
        <v>585</v>
      </c>
      <c r="C26" t="s">
        <v>590</v>
      </c>
      <c r="D26">
        <v>2009</v>
      </c>
      <c r="E26" s="1" t="s">
        <v>283</v>
      </c>
      <c r="F26" s="1" t="s">
        <v>284</v>
      </c>
      <c r="G26" s="1" t="s">
        <v>285</v>
      </c>
      <c r="H26" s="1" t="s">
        <v>286</v>
      </c>
      <c r="I26" s="1" t="s">
        <v>287</v>
      </c>
      <c r="J26" s="1" t="s">
        <v>288</v>
      </c>
      <c r="K26" s="1">
        <v>0.57395833333333335</v>
      </c>
      <c r="L26" s="1" t="s">
        <v>289</v>
      </c>
      <c r="M26" s="1" t="s">
        <v>290</v>
      </c>
      <c r="N26" s="1" t="s">
        <v>291</v>
      </c>
      <c r="O26" s="1" t="s">
        <v>578</v>
      </c>
      <c r="P26" s="1" t="s">
        <v>169</v>
      </c>
      <c r="S26" s="1">
        <f t="shared" si="0"/>
        <v>2.777777777778212E-4</v>
      </c>
      <c r="T26" s="1">
        <f t="shared" si="1"/>
        <v>4.8611111111107608E-4</v>
      </c>
      <c r="U26" s="1">
        <f t="shared" si="2"/>
        <v>1.1458333333334014E-3</v>
      </c>
      <c r="V26" s="1">
        <f t="shared" si="3"/>
        <v>4.5023148148148895E-3</v>
      </c>
      <c r="W26" s="1">
        <f t="shared" si="4"/>
        <v>1.7939814814814659E-3</v>
      </c>
      <c r="X26" s="1">
        <f t="shared" si="5"/>
        <v>1.3078703703703676E-2</v>
      </c>
      <c r="Y26" s="1">
        <f t="shared" si="6"/>
        <v>1.5787037037037099E-2</v>
      </c>
      <c r="Z26" s="1">
        <f t="shared" si="7"/>
        <v>1.8136574074074097E-2</v>
      </c>
      <c r="AA26" s="1">
        <f t="shared" si="8"/>
        <v>7.6388888888889728E-4</v>
      </c>
    </row>
    <row r="27" spans="1:27" x14ac:dyDescent="0.25">
      <c r="A27">
        <v>2</v>
      </c>
      <c r="B27" t="s">
        <v>585</v>
      </c>
      <c r="C27" t="s">
        <v>591</v>
      </c>
      <c r="D27">
        <v>2020</v>
      </c>
      <c r="E27" s="1" t="s">
        <v>293</v>
      </c>
      <c r="F27" s="1" t="s">
        <v>294</v>
      </c>
      <c r="G27" s="1" t="s">
        <v>295</v>
      </c>
      <c r="H27" s="1" t="s">
        <v>296</v>
      </c>
      <c r="I27" s="1" t="s">
        <v>297</v>
      </c>
      <c r="J27" s="1" t="s">
        <v>298</v>
      </c>
      <c r="K27" s="1" t="s">
        <v>299</v>
      </c>
      <c r="L27" s="1" t="s">
        <v>300</v>
      </c>
      <c r="M27" s="1" t="s">
        <v>301</v>
      </c>
      <c r="N27" s="1" t="s">
        <v>302</v>
      </c>
      <c r="O27" s="1" t="s">
        <v>34</v>
      </c>
      <c r="P27" s="1" t="s">
        <v>169</v>
      </c>
      <c r="S27" s="1">
        <f t="shared" si="0"/>
        <v>1.2152777777778567E-3</v>
      </c>
      <c r="T27" s="1">
        <f t="shared" si="1"/>
        <v>5.6712962962957025E-4</v>
      </c>
      <c r="U27" s="1">
        <f t="shared" si="2"/>
        <v>1.4930555555555669E-3</v>
      </c>
      <c r="V27" s="1">
        <f t="shared" si="3"/>
        <v>5.0115740740741543E-3</v>
      </c>
      <c r="W27" s="1">
        <f t="shared" si="4"/>
        <v>4.2708333333333348E-3</v>
      </c>
      <c r="X27" s="1">
        <f t="shared" si="5"/>
        <v>1.489583333333333E-2</v>
      </c>
      <c r="Y27" s="1">
        <f t="shared" si="6"/>
        <v>1.722222222222225E-2</v>
      </c>
      <c r="Z27" s="1">
        <f t="shared" si="7"/>
        <v>2.0289351851851878E-2</v>
      </c>
      <c r="AA27" s="1">
        <f t="shared" si="8"/>
        <v>1.782407407407427E-3</v>
      </c>
    </row>
    <row r="28" spans="1:27" x14ac:dyDescent="0.25">
      <c r="A28">
        <v>4</v>
      </c>
      <c r="B28" t="s">
        <v>559</v>
      </c>
      <c r="C28" t="s">
        <v>683</v>
      </c>
      <c r="D28">
        <v>2010</v>
      </c>
      <c r="E28" s="1" t="s">
        <v>303</v>
      </c>
      <c r="F28" s="1" t="s">
        <v>304</v>
      </c>
      <c r="G28" s="1" t="s">
        <v>178</v>
      </c>
      <c r="H28" s="1" t="s">
        <v>305</v>
      </c>
      <c r="I28" s="1" t="s">
        <v>306</v>
      </c>
      <c r="J28" s="1" t="s">
        <v>307</v>
      </c>
      <c r="K28" s="1" t="s">
        <v>308</v>
      </c>
      <c r="L28" s="1" t="s">
        <v>309</v>
      </c>
      <c r="M28" s="1" t="s">
        <v>310</v>
      </c>
      <c r="N28" s="1" t="s">
        <v>54</v>
      </c>
      <c r="O28" s="1" t="s">
        <v>555</v>
      </c>
      <c r="P28" s="1" t="s">
        <v>55</v>
      </c>
      <c r="S28" s="1">
        <f t="shared" si="0"/>
        <v>1.9675925925932702E-4</v>
      </c>
      <c r="T28" s="1">
        <f t="shared" si="1"/>
        <v>7.5231481481474738E-4</v>
      </c>
      <c r="U28" s="1">
        <f t="shared" si="2"/>
        <v>1.0069444444444908E-3</v>
      </c>
      <c r="V28" s="1">
        <f t="shared" si="3"/>
        <v>2.3611111111111471E-3</v>
      </c>
      <c r="W28" s="1">
        <f t="shared" si="4"/>
        <v>3.6458333333333481E-3</v>
      </c>
      <c r="X28" s="1">
        <f t="shared" si="5"/>
        <v>1.0451388888888857E-2</v>
      </c>
      <c r="Y28" s="1">
        <f t="shared" si="6"/>
        <v>1.1666666666666714E-2</v>
      </c>
      <c r="Z28" s="1">
        <f t="shared" si="7"/>
        <v>1.3865740740740762E-2</v>
      </c>
      <c r="AA28" s="1">
        <f t="shared" si="8"/>
        <v>9.490740740740744E-4</v>
      </c>
    </row>
    <row r="29" spans="1:27" x14ac:dyDescent="0.25">
      <c r="A29">
        <v>1</v>
      </c>
      <c r="B29" t="s">
        <v>687</v>
      </c>
      <c r="C29" t="s">
        <v>592</v>
      </c>
      <c r="D29">
        <v>2021</v>
      </c>
      <c r="E29" s="1" t="s">
        <v>312</v>
      </c>
      <c r="F29" s="1" t="s">
        <v>313</v>
      </c>
      <c r="G29" s="1" t="s">
        <v>314</v>
      </c>
      <c r="H29" s="1" t="s">
        <v>315</v>
      </c>
      <c r="I29" s="1" t="s">
        <v>316</v>
      </c>
      <c r="J29" s="1" t="s">
        <v>317</v>
      </c>
      <c r="K29" s="1" t="s">
        <v>318</v>
      </c>
      <c r="L29" s="1" t="s">
        <v>319</v>
      </c>
      <c r="M29" s="1" t="s">
        <v>320</v>
      </c>
      <c r="N29" s="1" t="s">
        <v>321</v>
      </c>
      <c r="O29" s="1" t="s">
        <v>555</v>
      </c>
      <c r="P29" s="1" t="s">
        <v>55</v>
      </c>
      <c r="S29" s="1">
        <f t="shared" si="0"/>
        <v>4.166666666667318E-4</v>
      </c>
      <c r="T29" s="1">
        <f t="shared" si="1"/>
        <v>7.8703703703697503E-4</v>
      </c>
      <c r="U29" s="1">
        <f t="shared" si="2"/>
        <v>1.0763888888889461E-3</v>
      </c>
      <c r="V29" s="1">
        <f t="shared" si="3"/>
        <v>3.0208333333333615E-3</v>
      </c>
      <c r="W29" s="1">
        <f t="shared" si="4"/>
        <v>3.1250000000000444E-3</v>
      </c>
      <c r="X29" s="1">
        <f t="shared" si="5"/>
        <v>2.0798611111111032E-2</v>
      </c>
      <c r="Y29" s="1">
        <f t="shared" si="6"/>
        <v>2.2372685185185204E-2</v>
      </c>
      <c r="Z29" s="1">
        <f t="shared" si="7"/>
        <v>2.4606481481481479E-2</v>
      </c>
      <c r="AA29" s="1">
        <f t="shared" si="8"/>
        <v>1.2037037037037068E-3</v>
      </c>
    </row>
    <row r="30" spans="1:27" x14ac:dyDescent="0.25">
      <c r="A30">
        <v>2</v>
      </c>
      <c r="B30" t="s">
        <v>561</v>
      </c>
      <c r="C30" t="s">
        <v>593</v>
      </c>
      <c r="D30">
        <v>2010</v>
      </c>
      <c r="E30" s="1" t="s">
        <v>324</v>
      </c>
      <c r="F30" s="1" t="s">
        <v>325</v>
      </c>
      <c r="G30" s="1" t="s">
        <v>326</v>
      </c>
      <c r="H30" s="1" t="s">
        <v>327</v>
      </c>
      <c r="I30" s="1" t="s">
        <v>328</v>
      </c>
      <c r="J30" s="1" t="s">
        <v>329</v>
      </c>
      <c r="K30" s="1" t="s">
        <v>330</v>
      </c>
      <c r="L30" s="1" t="s">
        <v>331</v>
      </c>
      <c r="M30" s="1" t="s">
        <v>332</v>
      </c>
      <c r="N30" s="1" t="s">
        <v>333</v>
      </c>
      <c r="O30" s="1" t="s">
        <v>34</v>
      </c>
      <c r="P30" s="1" t="s">
        <v>55</v>
      </c>
      <c r="S30" s="1">
        <f t="shared" si="0"/>
        <v>5.7870370370372015E-4</v>
      </c>
      <c r="T30" s="1">
        <f t="shared" si="1"/>
        <v>1.2962962962962399E-3</v>
      </c>
      <c r="U30" s="1">
        <f t="shared" si="2"/>
        <v>1.8750000000000711E-3</v>
      </c>
      <c r="V30" s="1">
        <f t="shared" si="3"/>
        <v>6.5162037037037601E-3</v>
      </c>
      <c r="W30" s="1">
        <f t="shared" si="4"/>
        <v>2.7893518518518068E-3</v>
      </c>
      <c r="X30" s="1">
        <f t="shared" si="5"/>
        <v>1.0231481481481453E-2</v>
      </c>
      <c r="Y30" s="1">
        <f t="shared" si="6"/>
        <v>1.2418981481481461E-2</v>
      </c>
      <c r="Z30" s="1">
        <f t="shared" si="7"/>
        <v>1.6388888888888897E-2</v>
      </c>
      <c r="AA30" s="1">
        <f t="shared" si="8"/>
        <v>1.87499999999996E-3</v>
      </c>
    </row>
    <row r="31" spans="1:27" x14ac:dyDescent="0.25">
      <c r="A31">
        <v>1</v>
      </c>
      <c r="B31" t="s">
        <v>580</v>
      </c>
      <c r="C31" t="s">
        <v>594</v>
      </c>
      <c r="D31">
        <v>2007</v>
      </c>
      <c r="E31" s="1">
        <v>0.64666666666666661</v>
      </c>
      <c r="F31" s="1">
        <v>0.6469907407407407</v>
      </c>
      <c r="G31" s="1">
        <v>0.64803240740740742</v>
      </c>
      <c r="H31" s="1">
        <v>0.65010416666666671</v>
      </c>
      <c r="I31" s="1">
        <v>0.64913194444444444</v>
      </c>
      <c r="J31" s="1">
        <v>0.6516319444444445</v>
      </c>
      <c r="K31" s="1">
        <v>0.65540509259259261</v>
      </c>
      <c r="L31" s="1">
        <v>0.65649305555555559</v>
      </c>
      <c r="M31" s="1">
        <v>0.65777777777777779</v>
      </c>
      <c r="N31" s="1" t="s">
        <v>54</v>
      </c>
      <c r="O31" s="1" t="s">
        <v>34</v>
      </c>
      <c r="P31" s="1" t="s">
        <v>169</v>
      </c>
      <c r="S31" s="1">
        <f>F31-E31</f>
        <v>3.2407407407408773E-4</v>
      </c>
      <c r="T31" s="1">
        <f t="shared" si="1"/>
        <v>1.0416666666667185E-3</v>
      </c>
      <c r="U31" s="1">
        <f t="shared" si="2"/>
        <v>1.0995370370370239E-3</v>
      </c>
      <c r="V31" s="1">
        <f t="shared" si="3"/>
        <v>2.0717592592592871E-3</v>
      </c>
      <c r="W31" s="1">
        <f t="shared" si="4"/>
        <v>1.5277777777777946E-3</v>
      </c>
      <c r="X31" s="1">
        <f t="shared" si="5"/>
        <v>6.2731481481481666E-3</v>
      </c>
      <c r="Y31" s="1">
        <f t="shared" si="6"/>
        <v>8.4606481481481755E-3</v>
      </c>
      <c r="Z31" s="1">
        <f t="shared" si="7"/>
        <v>1.1111111111111183E-2</v>
      </c>
      <c r="AA31" s="1">
        <f t="shared" si="8"/>
        <v>1.3657407407408062E-3</v>
      </c>
    </row>
    <row r="32" spans="1:27" x14ac:dyDescent="0.25">
      <c r="A32">
        <v>2</v>
      </c>
      <c r="B32" t="s">
        <v>559</v>
      </c>
      <c r="C32" t="s">
        <v>229</v>
      </c>
      <c r="D32">
        <v>2021</v>
      </c>
      <c r="E32" s="1">
        <v>0.65266203703703707</v>
      </c>
      <c r="F32" s="1">
        <v>0.65315972222222218</v>
      </c>
      <c r="G32" s="1">
        <v>0.65405092592592595</v>
      </c>
      <c r="H32" s="1">
        <v>0.65653935185185186</v>
      </c>
      <c r="I32" s="1">
        <v>0.65422453703703709</v>
      </c>
      <c r="J32" s="1">
        <v>0.65956018518518522</v>
      </c>
      <c r="K32" s="1">
        <v>0.66167824074074078</v>
      </c>
      <c r="L32" s="1">
        <v>0.66197916666666667</v>
      </c>
      <c r="M32" s="1">
        <v>0.66331018518518514</v>
      </c>
      <c r="N32" s="1" t="s">
        <v>335</v>
      </c>
      <c r="O32" s="1" t="s">
        <v>34</v>
      </c>
      <c r="P32" s="1" t="s">
        <v>55</v>
      </c>
      <c r="S32" s="1">
        <f t="shared" si="0"/>
        <v>4.9768518518511495E-4</v>
      </c>
      <c r="T32" s="1">
        <f t="shared" si="1"/>
        <v>8.91203703703769E-4</v>
      </c>
      <c r="U32" s="1">
        <f t="shared" si="2"/>
        <v>1.7361111111113825E-4</v>
      </c>
      <c r="V32" s="1">
        <f t="shared" si="3"/>
        <v>2.4884259259259078E-3</v>
      </c>
      <c r="W32" s="1">
        <f t="shared" si="4"/>
        <v>3.0208333333333615E-3</v>
      </c>
      <c r="X32" s="1">
        <f t="shared" si="5"/>
        <v>7.4537037037036846E-3</v>
      </c>
      <c r="Y32" s="1">
        <f t="shared" si="6"/>
        <v>7.9282407407407218E-3</v>
      </c>
      <c r="Z32" s="1">
        <f t="shared" si="7"/>
        <v>1.0648148148148073E-2</v>
      </c>
      <c r="AA32" s="1">
        <f t="shared" si="8"/>
        <v>1.388888888888884E-3</v>
      </c>
    </row>
    <row r="33" spans="1:27" x14ac:dyDescent="0.25">
      <c r="A33">
        <v>3</v>
      </c>
      <c r="B33" t="s">
        <v>559</v>
      </c>
      <c r="C33" t="s">
        <v>683</v>
      </c>
      <c r="D33">
        <v>2016</v>
      </c>
      <c r="E33" s="1">
        <v>0.65995370370370365</v>
      </c>
      <c r="F33" s="1">
        <v>0.66024305555555551</v>
      </c>
      <c r="G33" s="1">
        <v>0.66084490740740742</v>
      </c>
      <c r="H33" s="1">
        <v>0.66417824074074072</v>
      </c>
      <c r="I33" s="1">
        <v>0.66219907407407408</v>
      </c>
      <c r="J33" s="1">
        <v>0.66780092592592588</v>
      </c>
      <c r="K33" s="1">
        <v>0.67038194444444443</v>
      </c>
      <c r="L33" s="1">
        <v>0.67594907407407412</v>
      </c>
      <c r="M33" s="1">
        <v>0.67778935185185185</v>
      </c>
      <c r="N33" s="1" t="s">
        <v>336</v>
      </c>
      <c r="O33" s="1" t="s">
        <v>555</v>
      </c>
      <c r="P33" s="1" t="s">
        <v>55</v>
      </c>
      <c r="S33" s="1">
        <f t="shared" si="0"/>
        <v>2.8935185185186008E-4</v>
      </c>
      <c r="T33" s="1">
        <f t="shared" si="1"/>
        <v>6.0185185185190893E-4</v>
      </c>
      <c r="U33" s="1">
        <f t="shared" si="2"/>
        <v>1.3541666666666563E-3</v>
      </c>
      <c r="V33" s="1">
        <f t="shared" si="3"/>
        <v>3.3333333333332993E-3</v>
      </c>
      <c r="W33" s="1">
        <f t="shared" si="4"/>
        <v>3.6226851851851594E-3</v>
      </c>
      <c r="X33" s="1">
        <f t="shared" si="5"/>
        <v>8.1828703703703543E-3</v>
      </c>
      <c r="Y33" s="1">
        <f t="shared" si="6"/>
        <v>1.5104166666666696E-2</v>
      </c>
      <c r="Z33" s="1">
        <f t="shared" si="7"/>
        <v>1.7835648148148198E-2</v>
      </c>
      <c r="AA33" s="1">
        <f t="shared" si="8"/>
        <v>8.91203703703769E-4</v>
      </c>
    </row>
    <row r="34" spans="1:27" x14ac:dyDescent="0.25">
      <c r="A34">
        <v>2</v>
      </c>
      <c r="B34" t="s">
        <v>585</v>
      </c>
      <c r="C34" t="s">
        <v>562</v>
      </c>
      <c r="D34">
        <v>2021</v>
      </c>
      <c r="E34" s="1">
        <v>0.6746064814814815</v>
      </c>
      <c r="F34" s="1">
        <v>0.67472222222222222</v>
      </c>
      <c r="G34" s="1">
        <v>0.67546296296296293</v>
      </c>
      <c r="H34" s="1">
        <v>0.67864583333333328</v>
      </c>
      <c r="I34" s="1">
        <v>0.67622685185185183</v>
      </c>
      <c r="J34" s="1">
        <v>0.68074074074074076</v>
      </c>
      <c r="K34" s="1">
        <v>0.6844675925925926</v>
      </c>
      <c r="L34" s="1">
        <v>0.68464120370370374</v>
      </c>
      <c r="M34" s="1">
        <v>0.68665509259259261</v>
      </c>
      <c r="N34" s="1" t="s">
        <v>338</v>
      </c>
      <c r="O34" s="1" t="s">
        <v>34</v>
      </c>
      <c r="P34" s="1" t="s">
        <v>169</v>
      </c>
      <c r="S34" s="1">
        <f t="shared" si="0"/>
        <v>1.1574074074072183E-4</v>
      </c>
      <c r="T34" s="1">
        <f t="shared" si="1"/>
        <v>7.407407407407085E-4</v>
      </c>
      <c r="U34" s="1">
        <f t="shared" si="2"/>
        <v>7.6388888888889728E-4</v>
      </c>
      <c r="V34" s="1">
        <f t="shared" si="3"/>
        <v>3.1828703703703498E-3</v>
      </c>
      <c r="W34" s="1">
        <f t="shared" si="4"/>
        <v>2.0949074074074758E-3</v>
      </c>
      <c r="X34" s="1">
        <f t="shared" si="5"/>
        <v>8.2407407407407707E-3</v>
      </c>
      <c r="Y34" s="1">
        <f t="shared" si="6"/>
        <v>9.1782407407408062E-3</v>
      </c>
      <c r="Z34" s="1">
        <f t="shared" si="7"/>
        <v>1.2048611111111107E-2</v>
      </c>
      <c r="AA34" s="1">
        <f t="shared" si="8"/>
        <v>8.5648148148143033E-4</v>
      </c>
    </row>
    <row r="35" spans="1:27" x14ac:dyDescent="0.25">
      <c r="A35">
        <v>4</v>
      </c>
      <c r="B35" t="s">
        <v>586</v>
      </c>
      <c r="C35" t="s">
        <v>563</v>
      </c>
      <c r="D35">
        <v>2011</v>
      </c>
      <c r="E35" s="1">
        <v>0.6783217592592593</v>
      </c>
      <c r="F35" s="1">
        <v>0.67853009259259256</v>
      </c>
      <c r="G35" s="1">
        <v>0.67974537037037042</v>
      </c>
      <c r="H35" s="1">
        <v>0.68202546296296296</v>
      </c>
      <c r="I35" s="1">
        <v>0.68049768518518516</v>
      </c>
      <c r="J35" s="1">
        <v>0.68434027777777773</v>
      </c>
      <c r="K35" s="1">
        <v>0.68805555555555553</v>
      </c>
      <c r="L35" s="1">
        <v>0.71226851851851847</v>
      </c>
      <c r="M35" s="1">
        <v>0.7167824074074074</v>
      </c>
      <c r="N35" s="1" t="s">
        <v>340</v>
      </c>
      <c r="O35" s="1" t="s">
        <v>34</v>
      </c>
      <c r="P35" s="1" t="s">
        <v>169</v>
      </c>
      <c r="S35" s="1">
        <f t="shared" si="0"/>
        <v>2.0833333333325488E-4</v>
      </c>
      <c r="T35" s="1">
        <f t="shared" si="1"/>
        <v>1.2152777777778567E-3</v>
      </c>
      <c r="U35" s="1">
        <f t="shared" si="2"/>
        <v>7.5231481481474738E-4</v>
      </c>
      <c r="V35" s="1">
        <f t="shared" si="3"/>
        <v>2.2800925925925419E-3</v>
      </c>
      <c r="W35" s="1">
        <f t="shared" si="4"/>
        <v>2.3148148148147696E-3</v>
      </c>
      <c r="X35" s="1">
        <f t="shared" si="5"/>
        <v>7.5578703703703676E-3</v>
      </c>
      <c r="Y35" s="1">
        <f t="shared" si="6"/>
        <v>3.2523148148148051E-2</v>
      </c>
      <c r="Z35" s="1">
        <f t="shared" si="7"/>
        <v>3.8460648148148091E-2</v>
      </c>
      <c r="AA35" s="1">
        <f t="shared" si="8"/>
        <v>1.4236111111111116E-3</v>
      </c>
    </row>
    <row r="36" spans="1:27" x14ac:dyDescent="0.25">
      <c r="A36">
        <v>1</v>
      </c>
      <c r="B36" t="s">
        <v>559</v>
      </c>
      <c r="C36" t="s">
        <v>595</v>
      </c>
      <c r="D36">
        <v>2019</v>
      </c>
      <c r="E36" s="1">
        <v>0.71009259259259261</v>
      </c>
      <c r="F36" s="1">
        <v>0.71042824074074074</v>
      </c>
      <c r="G36" s="1">
        <v>0.71157407407407403</v>
      </c>
      <c r="H36" s="1">
        <v>0.71545138888888893</v>
      </c>
      <c r="I36" s="1">
        <v>0.71215277777777775</v>
      </c>
      <c r="J36" s="1">
        <v>0.71769675925925924</v>
      </c>
      <c r="K36" s="1">
        <v>0.72232638888888889</v>
      </c>
      <c r="L36" s="1">
        <v>0.7225462962962963</v>
      </c>
      <c r="M36" s="1">
        <v>0.72321759259259255</v>
      </c>
      <c r="N36" s="1" t="s">
        <v>342</v>
      </c>
      <c r="O36" s="1" t="s">
        <v>34</v>
      </c>
      <c r="P36" s="1" t="s">
        <v>55</v>
      </c>
      <c r="S36" s="1">
        <f t="shared" si="0"/>
        <v>3.356481481481266E-4</v>
      </c>
      <c r="T36" s="1">
        <f t="shared" si="1"/>
        <v>1.1458333333332904E-3</v>
      </c>
      <c r="U36" s="1">
        <f t="shared" si="2"/>
        <v>5.7870370370372015E-4</v>
      </c>
      <c r="V36" s="1">
        <f t="shared" si="3"/>
        <v>3.8773148148149028E-3</v>
      </c>
      <c r="W36" s="1">
        <f t="shared" si="4"/>
        <v>2.2453703703703143E-3</v>
      </c>
      <c r="X36" s="1">
        <f t="shared" si="5"/>
        <v>1.0173611111111147E-2</v>
      </c>
      <c r="Y36" s="1">
        <f t="shared" si="6"/>
        <v>1.0972222222222272E-2</v>
      </c>
      <c r="Z36" s="1">
        <f t="shared" si="7"/>
        <v>1.3124999999999942E-2</v>
      </c>
      <c r="AA36" s="1">
        <f t="shared" si="8"/>
        <v>1.481481481481417E-3</v>
      </c>
    </row>
    <row r="37" spans="1:27" x14ac:dyDescent="0.25">
      <c r="A37">
        <v>3</v>
      </c>
      <c r="B37" t="s">
        <v>8</v>
      </c>
      <c r="C37" t="s">
        <v>24</v>
      </c>
      <c r="D37">
        <v>2016</v>
      </c>
      <c r="E37" s="1">
        <v>0.71096064814814819</v>
      </c>
      <c r="F37" s="1">
        <v>0.71122685185185186</v>
      </c>
      <c r="G37" s="1">
        <v>0.71278935185185188</v>
      </c>
      <c r="H37" s="1">
        <v>0.7189699074074074</v>
      </c>
      <c r="I37" s="1">
        <v>0.71491898148148147</v>
      </c>
      <c r="J37" s="1">
        <v>0.7198148148148148</v>
      </c>
      <c r="K37" s="1">
        <v>0.72280092592592593</v>
      </c>
      <c r="L37" s="1">
        <v>0.7230092592592593</v>
      </c>
      <c r="M37" s="1">
        <v>0.72465277777777781</v>
      </c>
      <c r="N37" s="1" t="s">
        <v>343</v>
      </c>
      <c r="O37" s="1" t="s">
        <v>34</v>
      </c>
      <c r="P37" s="1" t="s">
        <v>55</v>
      </c>
      <c r="S37" s="1">
        <f t="shared" si="0"/>
        <v>2.662037037036713E-4</v>
      </c>
      <c r="T37" s="1">
        <f t="shared" si="1"/>
        <v>1.5625000000000222E-3</v>
      </c>
      <c r="U37" s="1">
        <f t="shared" si="2"/>
        <v>2.1296296296295925E-3</v>
      </c>
      <c r="V37" s="1">
        <f t="shared" si="3"/>
        <v>6.1805555555555225E-3</v>
      </c>
      <c r="W37" s="1">
        <f t="shared" si="4"/>
        <v>8.4490740740739145E-4</v>
      </c>
      <c r="X37" s="1">
        <f t="shared" si="5"/>
        <v>7.8819444444444553E-3</v>
      </c>
      <c r="Y37" s="1">
        <f t="shared" si="6"/>
        <v>1.0219907407407414E-2</v>
      </c>
      <c r="Z37" s="1">
        <f t="shared" si="7"/>
        <v>1.3692129629629624E-2</v>
      </c>
      <c r="AA37" s="1">
        <f t="shared" si="8"/>
        <v>1.8287037037036935E-3</v>
      </c>
    </row>
    <row r="38" spans="1:27" x14ac:dyDescent="0.25">
      <c r="A38">
        <v>2</v>
      </c>
      <c r="B38" t="s">
        <v>559</v>
      </c>
      <c r="C38" t="s">
        <v>596</v>
      </c>
      <c r="D38">
        <v>1997</v>
      </c>
      <c r="E38" s="1">
        <v>0.72623842592592591</v>
      </c>
      <c r="F38" s="1">
        <v>0.72653935185185181</v>
      </c>
      <c r="G38" s="1">
        <v>0.72722222222222221</v>
      </c>
      <c r="H38" s="1">
        <v>0.72964120370370367</v>
      </c>
      <c r="I38" s="1">
        <v>0.72851851851851857</v>
      </c>
      <c r="J38" s="1">
        <v>0.73047453703703702</v>
      </c>
      <c r="K38" s="1">
        <v>0.73715277777777777</v>
      </c>
      <c r="L38" s="1">
        <v>0.73747685185185186</v>
      </c>
      <c r="M38" s="1">
        <v>0.73841435185185189</v>
      </c>
      <c r="N38" s="1" t="s">
        <v>345</v>
      </c>
      <c r="O38" s="1" t="s">
        <v>34</v>
      </c>
      <c r="P38" s="1" t="s">
        <v>55</v>
      </c>
      <c r="S38" s="1">
        <f t="shared" si="0"/>
        <v>3.0092592592589895E-4</v>
      </c>
      <c r="T38" s="1">
        <f t="shared" si="1"/>
        <v>6.828703703704031E-4</v>
      </c>
      <c r="U38" s="1">
        <f t="shared" si="2"/>
        <v>1.2962962962963509E-3</v>
      </c>
      <c r="V38" s="1">
        <f t="shared" si="3"/>
        <v>2.4189814814814525E-3</v>
      </c>
      <c r="W38" s="1">
        <f t="shared" si="4"/>
        <v>8.3333333333335258E-4</v>
      </c>
      <c r="X38" s="1">
        <f t="shared" si="5"/>
        <v>8.6342592592592027E-3</v>
      </c>
      <c r="Y38" s="1">
        <f t="shared" si="6"/>
        <v>1.0254629629629641E-2</v>
      </c>
      <c r="Z38" s="1">
        <f t="shared" si="7"/>
        <v>1.2175925925925979E-2</v>
      </c>
      <c r="AA38" s="1">
        <f t="shared" si="8"/>
        <v>9.8379629629630205E-4</v>
      </c>
    </row>
    <row r="39" spans="1:27" x14ac:dyDescent="0.25">
      <c r="A39">
        <v>3</v>
      </c>
      <c r="B39" t="s">
        <v>597</v>
      </c>
      <c r="C39" t="s">
        <v>598</v>
      </c>
      <c r="D39">
        <v>2015</v>
      </c>
      <c r="E39" s="1">
        <v>0.73273148148148148</v>
      </c>
      <c r="F39" s="1">
        <v>0.73302083333333334</v>
      </c>
      <c r="G39" s="1">
        <v>0.7338541666666667</v>
      </c>
      <c r="H39" s="1">
        <v>0.73731481481481487</v>
      </c>
      <c r="I39" s="1">
        <v>0.73473379629629632</v>
      </c>
      <c r="J39" s="1">
        <v>0.74049768518518522</v>
      </c>
      <c r="K39" s="1">
        <v>0.74496527777777777</v>
      </c>
      <c r="L39" s="1">
        <v>0.74548611111111107</v>
      </c>
      <c r="M39" s="1">
        <v>0.74675925925925923</v>
      </c>
      <c r="N39" s="1" t="s">
        <v>54</v>
      </c>
      <c r="O39" s="1" t="s">
        <v>578</v>
      </c>
      <c r="P39" s="1" t="s">
        <v>169</v>
      </c>
      <c r="S39" s="1">
        <f t="shared" si="0"/>
        <v>2.8935185185186008E-4</v>
      </c>
      <c r="T39" s="1">
        <f t="shared" si="1"/>
        <v>8.3333333333335258E-4</v>
      </c>
      <c r="U39" s="1">
        <f t="shared" si="2"/>
        <v>8.796296296296191E-4</v>
      </c>
      <c r="V39" s="1">
        <f t="shared" si="3"/>
        <v>3.460648148148171E-3</v>
      </c>
      <c r="W39" s="1">
        <f t="shared" si="4"/>
        <v>3.1828703703703498E-3</v>
      </c>
      <c r="X39" s="1">
        <f t="shared" si="5"/>
        <v>1.0231481481481453E-2</v>
      </c>
      <c r="Y39" s="1">
        <f t="shared" si="6"/>
        <v>1.1631944444444375E-2</v>
      </c>
      <c r="Z39" s="1">
        <f t="shared" si="7"/>
        <v>1.402777777777775E-2</v>
      </c>
      <c r="AA39" s="1">
        <f t="shared" si="8"/>
        <v>1.1226851851852127E-3</v>
      </c>
    </row>
    <row r="40" spans="1:27" x14ac:dyDescent="0.25">
      <c r="A40">
        <v>4</v>
      </c>
      <c r="B40" t="s">
        <v>8</v>
      </c>
      <c r="C40" t="s">
        <v>24</v>
      </c>
      <c r="D40">
        <v>2014</v>
      </c>
      <c r="E40" s="1">
        <v>0.73476851851851854</v>
      </c>
      <c r="F40" s="1">
        <v>0.73503472222222221</v>
      </c>
      <c r="G40" s="1">
        <v>0.73591435185185183</v>
      </c>
      <c r="H40" s="1">
        <v>0.73962962962962964</v>
      </c>
      <c r="I40" s="1">
        <v>0.73675925925925922</v>
      </c>
      <c r="J40" s="1">
        <v>0.74312500000000004</v>
      </c>
      <c r="K40" s="1">
        <v>0.74719907407407404</v>
      </c>
      <c r="L40" s="1">
        <v>0.75638888888888889</v>
      </c>
      <c r="M40" s="1">
        <v>0.75765046296296301</v>
      </c>
      <c r="N40" s="1" t="s">
        <v>348</v>
      </c>
      <c r="O40" s="1" t="s">
        <v>34</v>
      </c>
      <c r="P40" s="1" t="s">
        <v>55</v>
      </c>
      <c r="S40" s="1">
        <f t="shared" si="0"/>
        <v>2.662037037036713E-4</v>
      </c>
      <c r="T40" s="1">
        <f t="shared" si="1"/>
        <v>8.796296296296191E-4</v>
      </c>
      <c r="U40" s="1">
        <f t="shared" si="2"/>
        <v>8.4490740740739145E-4</v>
      </c>
      <c r="V40" s="1">
        <f t="shared" si="3"/>
        <v>3.7152777777778034E-3</v>
      </c>
      <c r="W40" s="1">
        <f t="shared" si="4"/>
        <v>3.4953703703703987E-3</v>
      </c>
      <c r="X40" s="1">
        <f t="shared" si="5"/>
        <v>1.0439814814814818E-2</v>
      </c>
      <c r="Y40" s="1">
        <f t="shared" si="6"/>
        <v>2.0474537037037055E-2</v>
      </c>
      <c r="Z40" s="1">
        <f t="shared" si="7"/>
        <v>2.2881944444444469E-2</v>
      </c>
      <c r="AA40" s="1">
        <f t="shared" si="8"/>
        <v>1.1458333333332904E-3</v>
      </c>
    </row>
    <row r="41" spans="1:27" x14ac:dyDescent="0.25">
      <c r="A41">
        <v>1</v>
      </c>
      <c r="B41" t="s">
        <v>585</v>
      </c>
      <c r="C41" t="s">
        <v>599</v>
      </c>
      <c r="D41">
        <v>2023</v>
      </c>
      <c r="E41" s="1">
        <v>0.73503472222222221</v>
      </c>
      <c r="F41" s="1">
        <v>0.73542824074074076</v>
      </c>
      <c r="G41" s="1">
        <v>0.73993055555555554</v>
      </c>
      <c r="H41" s="1">
        <v>0.74796296296296294</v>
      </c>
      <c r="I41" s="1">
        <v>0.74107638888888894</v>
      </c>
      <c r="J41" s="1">
        <v>0.74962962962962965</v>
      </c>
      <c r="K41" s="1">
        <v>0.77094907407407409</v>
      </c>
      <c r="L41" s="1">
        <v>0.77120370370370372</v>
      </c>
      <c r="M41" s="1">
        <v>0.77195601851851847</v>
      </c>
      <c r="N41" s="1" t="s">
        <v>682</v>
      </c>
      <c r="O41" s="1" t="s">
        <v>34</v>
      </c>
      <c r="P41" s="1" t="s">
        <v>169</v>
      </c>
      <c r="S41" s="1">
        <f t="shared" si="0"/>
        <v>3.9351851851854303E-4</v>
      </c>
      <c r="T41" s="1">
        <f t="shared" si="1"/>
        <v>4.5023148148147785E-3</v>
      </c>
      <c r="U41" s="1">
        <f t="shared" si="2"/>
        <v>1.1458333333334014E-3</v>
      </c>
      <c r="V41" s="1">
        <f t="shared" si="3"/>
        <v>8.0324074074074048E-3</v>
      </c>
      <c r="W41" s="1">
        <f t="shared" si="4"/>
        <v>1.6666666666667052E-3</v>
      </c>
      <c r="X41" s="1">
        <f t="shared" si="5"/>
        <v>2.9872685185185155E-2</v>
      </c>
      <c r="Y41" s="1">
        <f t="shared" si="6"/>
        <v>3.1273148148148189E-2</v>
      </c>
      <c r="Z41" s="1">
        <f t="shared" si="7"/>
        <v>3.6921296296296258E-2</v>
      </c>
      <c r="AA41" s="1">
        <f t="shared" si="8"/>
        <v>4.8958333333333215E-3</v>
      </c>
    </row>
    <row r="42" spans="1:27" x14ac:dyDescent="0.25">
      <c r="A42">
        <v>3</v>
      </c>
      <c r="B42" t="s">
        <v>561</v>
      </c>
      <c r="C42" t="s">
        <v>600</v>
      </c>
      <c r="D42">
        <v>2011</v>
      </c>
      <c r="E42" s="1">
        <v>0.74894675925925924</v>
      </c>
      <c r="F42" s="1">
        <v>0.74930555555555556</v>
      </c>
      <c r="G42" s="1">
        <v>0.75143518518518515</v>
      </c>
      <c r="H42" s="1">
        <v>0.75885416666666672</v>
      </c>
      <c r="I42" s="1">
        <v>0.7530324074074074</v>
      </c>
      <c r="J42" s="1">
        <v>0.76060185185185181</v>
      </c>
      <c r="K42" s="1">
        <v>0.76575231481481476</v>
      </c>
      <c r="L42" s="1">
        <v>0.76828703703703705</v>
      </c>
      <c r="M42" s="1">
        <v>0.76979166666666665</v>
      </c>
      <c r="N42" s="1" t="s">
        <v>352</v>
      </c>
      <c r="O42" s="1" t="s">
        <v>555</v>
      </c>
      <c r="P42" s="1" t="s">
        <v>55</v>
      </c>
      <c r="S42" s="1">
        <f t="shared" si="0"/>
        <v>3.5879629629631538E-4</v>
      </c>
      <c r="T42" s="1">
        <f t="shared" si="1"/>
        <v>2.1296296296295925E-3</v>
      </c>
      <c r="U42" s="1">
        <f t="shared" si="2"/>
        <v>1.5972222222222499E-3</v>
      </c>
      <c r="V42" s="1">
        <f t="shared" si="3"/>
        <v>7.418981481481568E-3</v>
      </c>
      <c r="W42" s="1">
        <f t="shared" si="4"/>
        <v>1.7476851851850883E-3</v>
      </c>
      <c r="X42" s="1">
        <f t="shared" si="5"/>
        <v>1.271990740740736E-2</v>
      </c>
      <c r="Y42" s="1">
        <f t="shared" si="6"/>
        <v>1.6851851851851896E-2</v>
      </c>
      <c r="Z42" s="1">
        <f t="shared" si="7"/>
        <v>2.0844907407407409E-2</v>
      </c>
      <c r="AA42" s="1">
        <f t="shared" si="8"/>
        <v>2.4884259259259078E-3</v>
      </c>
    </row>
    <row r="43" spans="1:27" x14ac:dyDescent="0.25">
      <c r="A43">
        <v>2</v>
      </c>
      <c r="B43" t="s">
        <v>8</v>
      </c>
      <c r="C43" t="s">
        <v>353</v>
      </c>
      <c r="D43">
        <v>2022</v>
      </c>
      <c r="E43" s="1">
        <v>0.76589120370370367</v>
      </c>
      <c r="F43" s="1">
        <v>0.76603009259259258</v>
      </c>
      <c r="G43" s="1">
        <v>0.76709490740740738</v>
      </c>
      <c r="H43" s="1">
        <v>0.77074074074074073</v>
      </c>
      <c r="I43" s="1">
        <v>0.7680555555555556</v>
      </c>
      <c r="J43" s="1">
        <v>0.77296296296296296</v>
      </c>
      <c r="K43" s="1">
        <v>0.77579861111111115</v>
      </c>
      <c r="L43" s="1">
        <v>0.78021990740740743</v>
      </c>
      <c r="M43" s="1">
        <v>0.78093749999999995</v>
      </c>
      <c r="N43" s="1" t="s">
        <v>291</v>
      </c>
      <c r="O43" s="1" t="s">
        <v>34</v>
      </c>
      <c r="P43" s="1" t="s">
        <v>55</v>
      </c>
      <c r="S43" s="1">
        <f t="shared" si="0"/>
        <v>1.388888888889106E-4</v>
      </c>
      <c r="T43" s="1">
        <f t="shared" si="1"/>
        <v>1.0648148148147962E-3</v>
      </c>
      <c r="U43" s="1">
        <f t="shared" si="2"/>
        <v>9.606481481482243E-4</v>
      </c>
      <c r="V43" s="1">
        <f t="shared" si="3"/>
        <v>3.6458333333333481E-3</v>
      </c>
      <c r="W43" s="1">
        <f t="shared" si="4"/>
        <v>2.2222222222222365E-3</v>
      </c>
      <c r="X43" s="1">
        <f t="shared" si="5"/>
        <v>7.7430555555555447E-3</v>
      </c>
      <c r="Y43" s="1">
        <f t="shared" si="6"/>
        <v>1.3125000000000053E-2</v>
      </c>
      <c r="Z43" s="1">
        <f t="shared" si="7"/>
        <v>1.504629629629628E-2</v>
      </c>
      <c r="AA43" s="1">
        <f t="shared" si="8"/>
        <v>1.2037037037037068E-3</v>
      </c>
    </row>
    <row r="44" spans="1:27" x14ac:dyDescent="0.25">
      <c r="A44">
        <v>1</v>
      </c>
      <c r="B44" t="s">
        <v>560</v>
      </c>
      <c r="C44" t="s">
        <v>601</v>
      </c>
      <c r="D44">
        <v>2001</v>
      </c>
      <c r="E44" s="1">
        <v>0.53232638888888884</v>
      </c>
      <c r="F44" s="1">
        <v>0.53258101851851847</v>
      </c>
      <c r="G44" s="1">
        <v>0.53343750000000001</v>
      </c>
      <c r="H44" s="1">
        <v>0.53585648148148146</v>
      </c>
      <c r="I44" s="1">
        <v>0.53415509259259264</v>
      </c>
      <c r="J44" s="1">
        <v>0.5368518518518518</v>
      </c>
      <c r="K44" s="1">
        <v>0.54317129629629635</v>
      </c>
      <c r="L44" s="1">
        <v>0.54369212962962965</v>
      </c>
      <c r="M44" s="1">
        <v>0.5458101851851852</v>
      </c>
      <c r="N44" s="1" t="s">
        <v>54</v>
      </c>
      <c r="O44" s="1" t="s">
        <v>578</v>
      </c>
      <c r="P44" s="1" t="s">
        <v>55</v>
      </c>
      <c r="S44" s="1">
        <f t="shared" si="0"/>
        <v>2.5462962962963243E-4</v>
      </c>
      <c r="T44" s="1">
        <f t="shared" si="1"/>
        <v>8.5648148148154135E-4</v>
      </c>
      <c r="U44" s="1">
        <f t="shared" si="2"/>
        <v>7.1759259259263075E-4</v>
      </c>
      <c r="V44" s="1">
        <f t="shared" si="3"/>
        <v>2.4189814814814525E-3</v>
      </c>
      <c r="W44" s="1">
        <f t="shared" si="4"/>
        <v>9.9537037037034093E-4</v>
      </c>
      <c r="X44" s="1">
        <f t="shared" si="5"/>
        <v>9.0162037037037068E-3</v>
      </c>
      <c r="Y44" s="1">
        <f t="shared" si="6"/>
        <v>1.0254629629629641E-2</v>
      </c>
      <c r="Z44" s="1">
        <f t="shared" si="7"/>
        <v>1.3483796296296369E-2</v>
      </c>
      <c r="AA44" s="1">
        <f t="shared" si="8"/>
        <v>1.1111111111111738E-3</v>
      </c>
    </row>
    <row r="45" spans="1:27" x14ac:dyDescent="0.25">
      <c r="A45">
        <v>2</v>
      </c>
      <c r="B45" t="s">
        <v>11</v>
      </c>
      <c r="C45" t="s">
        <v>645</v>
      </c>
      <c r="D45">
        <v>2023</v>
      </c>
      <c r="E45" s="1">
        <v>0.53383101851851855</v>
      </c>
      <c r="F45" s="1">
        <v>0.5342824074074074</v>
      </c>
      <c r="G45" s="1">
        <v>0.53524305555555551</v>
      </c>
      <c r="H45" s="1">
        <v>0.53853009259259255</v>
      </c>
      <c r="I45" s="1">
        <v>0.53620370370370374</v>
      </c>
      <c r="J45" s="1">
        <v>0.54001157407407407</v>
      </c>
      <c r="K45" s="1">
        <v>0.54596064814814815</v>
      </c>
      <c r="L45" s="1">
        <v>0.54643518518518519</v>
      </c>
      <c r="M45" s="1">
        <v>0.54699074074074072</v>
      </c>
      <c r="N45" s="1" t="s">
        <v>54</v>
      </c>
      <c r="O45" s="1" t="s">
        <v>34</v>
      </c>
      <c r="P45" s="1" t="s">
        <v>55</v>
      </c>
      <c r="S45" s="1">
        <f t="shared" si="0"/>
        <v>4.5138888888884843E-4</v>
      </c>
      <c r="T45" s="1">
        <f t="shared" si="1"/>
        <v>9.6064814814811328E-4</v>
      </c>
      <c r="U45" s="1">
        <f t="shared" si="2"/>
        <v>9.606481481482243E-4</v>
      </c>
      <c r="V45" s="1">
        <f t="shared" si="3"/>
        <v>3.2870370370370328E-3</v>
      </c>
      <c r="W45" s="1">
        <f t="shared" si="4"/>
        <v>1.481481481481528E-3</v>
      </c>
      <c r="X45" s="1">
        <f t="shared" si="5"/>
        <v>9.7569444444444153E-3</v>
      </c>
      <c r="Y45" s="1">
        <f t="shared" si="6"/>
        <v>1.1192129629629677E-2</v>
      </c>
      <c r="Z45" s="1">
        <f t="shared" si="7"/>
        <v>1.315972222222217E-2</v>
      </c>
      <c r="AA45" s="1">
        <f t="shared" si="8"/>
        <v>1.4120370370369617E-3</v>
      </c>
    </row>
    <row r="46" spans="1:27" x14ac:dyDescent="0.25">
      <c r="A46">
        <v>1</v>
      </c>
      <c r="B46" t="s">
        <v>559</v>
      </c>
      <c r="C46" t="s">
        <v>229</v>
      </c>
      <c r="D46">
        <v>2017</v>
      </c>
      <c r="E46" s="1">
        <v>0.55045138888888889</v>
      </c>
      <c r="F46" s="1">
        <v>0.55063657407407407</v>
      </c>
      <c r="G46" s="1">
        <v>0.55173611111111109</v>
      </c>
      <c r="H46" s="1">
        <v>0.55601851851851847</v>
      </c>
      <c r="I46" s="1">
        <v>0.55246527777777776</v>
      </c>
      <c r="J46" s="1">
        <v>0.55778935185185186</v>
      </c>
      <c r="K46" s="1">
        <v>0.56643518518518521</v>
      </c>
      <c r="L46" s="1">
        <v>0.56673611111111111</v>
      </c>
      <c r="M46" s="1">
        <v>0.56851851851851853</v>
      </c>
      <c r="N46" s="1" t="s">
        <v>54</v>
      </c>
      <c r="O46" s="1" t="s">
        <v>34</v>
      </c>
      <c r="P46" s="1" t="s">
        <v>55</v>
      </c>
      <c r="S46" s="1">
        <f t="shared" si="0"/>
        <v>1.8518518518517713E-4</v>
      </c>
      <c r="T46" s="1">
        <f t="shared" si="1"/>
        <v>1.0995370370370239E-3</v>
      </c>
      <c r="U46" s="1">
        <f t="shared" si="2"/>
        <v>7.2916666666666963E-4</v>
      </c>
      <c r="V46" s="1">
        <f t="shared" si="3"/>
        <v>4.2824074074073737E-3</v>
      </c>
      <c r="W46" s="1">
        <f t="shared" si="4"/>
        <v>1.7708333333333881E-3</v>
      </c>
      <c r="X46" s="1">
        <f t="shared" si="5"/>
        <v>1.3969907407407445E-2</v>
      </c>
      <c r="Y46" s="1">
        <f t="shared" si="6"/>
        <v>1.5000000000000013E-2</v>
      </c>
      <c r="Z46" s="1">
        <f t="shared" si="7"/>
        <v>1.8067129629629641E-2</v>
      </c>
      <c r="AA46" s="1">
        <f t="shared" si="8"/>
        <v>1.284722222222201E-3</v>
      </c>
    </row>
    <row r="47" spans="1:27" x14ac:dyDescent="0.25">
      <c r="A47">
        <v>2</v>
      </c>
      <c r="B47" t="s">
        <v>559</v>
      </c>
      <c r="C47" t="s">
        <v>229</v>
      </c>
      <c r="D47">
        <v>2015</v>
      </c>
      <c r="E47" s="1">
        <v>0.5514930555555555</v>
      </c>
      <c r="F47" s="1">
        <v>0.55166666666666664</v>
      </c>
      <c r="G47" s="1">
        <v>0.55244212962962957</v>
      </c>
      <c r="H47" s="1">
        <v>0.55557870370370366</v>
      </c>
      <c r="I47" s="1">
        <v>0.55354166666666671</v>
      </c>
      <c r="J47" s="1">
        <v>0.55960648148148151</v>
      </c>
      <c r="K47" s="1">
        <v>0.56630787037037034</v>
      </c>
      <c r="L47" s="1">
        <v>0.56685185185185183</v>
      </c>
      <c r="M47" s="1">
        <v>0.56913194444444448</v>
      </c>
      <c r="N47" s="1" t="s">
        <v>54</v>
      </c>
      <c r="O47" s="1" t="s">
        <v>34</v>
      </c>
      <c r="P47" s="1" t="s">
        <v>55</v>
      </c>
      <c r="S47" s="1">
        <f t="shared" si="0"/>
        <v>1.7361111111113825E-4</v>
      </c>
      <c r="T47" s="1">
        <f t="shared" si="1"/>
        <v>7.7546296296293615E-4</v>
      </c>
      <c r="U47" s="1">
        <f t="shared" si="2"/>
        <v>1.0995370370371349E-3</v>
      </c>
      <c r="V47" s="1">
        <f t="shared" si="3"/>
        <v>3.1365740740740833E-3</v>
      </c>
      <c r="W47" s="1">
        <f t="shared" si="4"/>
        <v>4.0277777777778523E-3</v>
      </c>
      <c r="X47" s="1">
        <f t="shared" si="5"/>
        <v>1.2766203703703627E-2</v>
      </c>
      <c r="Y47" s="1">
        <f t="shared" si="6"/>
        <v>1.4409722222222254E-2</v>
      </c>
      <c r="Z47" s="1">
        <f t="shared" si="7"/>
        <v>1.7638888888888982E-2</v>
      </c>
      <c r="AA47" s="1">
        <f t="shared" si="8"/>
        <v>9.490740740740744E-4</v>
      </c>
    </row>
    <row r="48" spans="1:27" x14ac:dyDescent="0.25">
      <c r="A48">
        <v>3</v>
      </c>
      <c r="B48" t="s">
        <v>559</v>
      </c>
      <c r="C48" t="s">
        <v>229</v>
      </c>
      <c r="D48">
        <v>2016</v>
      </c>
      <c r="E48" s="1">
        <v>0.55474537037037042</v>
      </c>
      <c r="F48" s="1">
        <v>0.55561342592592589</v>
      </c>
      <c r="G48" s="1">
        <v>0.55726851851851855</v>
      </c>
      <c r="H48" s="1">
        <v>0.56059027777777781</v>
      </c>
      <c r="I48" s="1">
        <v>0.55855324074074075</v>
      </c>
      <c r="J48" s="1">
        <v>0.56331018518518516</v>
      </c>
      <c r="K48" s="1">
        <v>0.5690277777777778</v>
      </c>
      <c r="L48" s="1">
        <v>0.5722800925925926</v>
      </c>
      <c r="M48" s="1">
        <v>0.5747106481481481</v>
      </c>
      <c r="N48" s="1" t="s">
        <v>333</v>
      </c>
      <c r="O48" s="1" t="s">
        <v>34</v>
      </c>
      <c r="P48" s="1" t="s">
        <v>55</v>
      </c>
      <c r="S48" s="1">
        <f t="shared" si="0"/>
        <v>8.680555555554692E-4</v>
      </c>
      <c r="T48" s="1">
        <f t="shared" si="1"/>
        <v>1.6550925925926663E-3</v>
      </c>
      <c r="U48" s="1">
        <f t="shared" si="2"/>
        <v>1.284722222222201E-3</v>
      </c>
      <c r="V48" s="1">
        <f t="shared" si="3"/>
        <v>3.3217592592592604E-3</v>
      </c>
      <c r="W48" s="1">
        <f t="shared" si="4"/>
        <v>2.7199074074073515E-3</v>
      </c>
      <c r="X48" s="1">
        <f t="shared" si="5"/>
        <v>1.0474537037037046E-2</v>
      </c>
      <c r="Y48" s="1">
        <f t="shared" si="6"/>
        <v>1.5011574074074052E-2</v>
      </c>
      <c r="Z48" s="1">
        <f t="shared" si="7"/>
        <v>1.9965277777777679E-2</v>
      </c>
      <c r="AA48" s="1">
        <f t="shared" si="8"/>
        <v>2.5231481481481355E-3</v>
      </c>
    </row>
    <row r="49" spans="1:27" x14ac:dyDescent="0.25">
      <c r="A49">
        <v>4</v>
      </c>
      <c r="B49" t="s">
        <v>559</v>
      </c>
      <c r="C49" t="s">
        <v>229</v>
      </c>
      <c r="D49">
        <v>2021</v>
      </c>
      <c r="E49" s="1">
        <v>0.56108796296296293</v>
      </c>
      <c r="F49" s="1">
        <v>0.56122685185185184</v>
      </c>
      <c r="G49" s="1">
        <v>0.56236111111111109</v>
      </c>
      <c r="H49" s="1">
        <v>0.57008101851851856</v>
      </c>
      <c r="I49" s="1">
        <v>0.56317129629629625</v>
      </c>
      <c r="J49" s="1">
        <v>0.5723611111111111</v>
      </c>
      <c r="K49" s="1">
        <v>0.58871527777777777</v>
      </c>
      <c r="L49" s="1">
        <v>0.5892708333333333</v>
      </c>
      <c r="M49" s="1">
        <v>0.59075231481481483</v>
      </c>
      <c r="N49" s="1" t="s">
        <v>356</v>
      </c>
      <c r="O49" s="1" t="s">
        <v>34</v>
      </c>
      <c r="P49" s="1" t="s">
        <v>55</v>
      </c>
      <c r="S49" s="1">
        <f t="shared" si="0"/>
        <v>1.388888888889106E-4</v>
      </c>
      <c r="T49" s="1">
        <f t="shared" si="1"/>
        <v>1.1342592592592515E-3</v>
      </c>
      <c r="U49" s="1">
        <f t="shared" si="2"/>
        <v>8.101851851851638E-4</v>
      </c>
      <c r="V49" s="1">
        <f t="shared" si="3"/>
        <v>7.7199074074074669E-3</v>
      </c>
      <c r="W49" s="1">
        <f t="shared" si="4"/>
        <v>2.2800925925925419E-3</v>
      </c>
      <c r="X49" s="1">
        <f t="shared" si="5"/>
        <v>2.5543981481481515E-2</v>
      </c>
      <c r="Y49" s="1">
        <f t="shared" si="6"/>
        <v>2.690972222222221E-2</v>
      </c>
      <c r="Z49" s="1">
        <f t="shared" si="7"/>
        <v>2.96643518518519E-2</v>
      </c>
      <c r="AA49" s="1">
        <f t="shared" si="8"/>
        <v>1.2731481481481621E-3</v>
      </c>
    </row>
    <row r="50" spans="1:27" x14ac:dyDescent="0.25">
      <c r="A50">
        <v>1</v>
      </c>
      <c r="B50" t="s">
        <v>602</v>
      </c>
      <c r="C50" t="s">
        <v>358</v>
      </c>
      <c r="D50">
        <v>2003</v>
      </c>
      <c r="E50" s="1">
        <v>0.56342592592592589</v>
      </c>
      <c r="F50" s="1">
        <v>0.56390046296296292</v>
      </c>
      <c r="G50" s="1">
        <v>0.57076388888888885</v>
      </c>
      <c r="H50" s="1">
        <v>0.57123842592592589</v>
      </c>
      <c r="I50" s="1">
        <v>0.57431712962962966</v>
      </c>
      <c r="J50" s="1">
        <v>0.57966435185185183</v>
      </c>
      <c r="K50" s="1">
        <v>0.58268518518518519</v>
      </c>
      <c r="L50" s="1">
        <v>0.58315972222222223</v>
      </c>
      <c r="M50" s="1">
        <v>0.58428240740740744</v>
      </c>
      <c r="N50" s="1" t="s">
        <v>54</v>
      </c>
      <c r="O50" s="1" t="s">
        <v>34</v>
      </c>
      <c r="P50" s="1" t="s">
        <v>169</v>
      </c>
      <c r="S50" s="1">
        <f t="shared" si="0"/>
        <v>4.745370370370372E-4</v>
      </c>
      <c r="T50" s="1">
        <f t="shared" si="1"/>
        <v>6.8634259259259256E-3</v>
      </c>
      <c r="U50" s="1">
        <f t="shared" si="2"/>
        <v>3.5532407407408151E-3</v>
      </c>
      <c r="V50" s="1">
        <f t="shared" si="3"/>
        <v>4.745370370370372E-4</v>
      </c>
      <c r="W50" s="1">
        <f t="shared" si="4"/>
        <v>8.4259259259259478E-3</v>
      </c>
      <c r="X50" s="1">
        <f t="shared" si="5"/>
        <v>8.3680555555555314E-3</v>
      </c>
      <c r="Y50" s="1">
        <f t="shared" si="6"/>
        <v>1.2395833333333384E-2</v>
      </c>
      <c r="Z50" s="1">
        <f t="shared" si="7"/>
        <v>2.0856481481481559E-2</v>
      </c>
      <c r="AA50" s="1">
        <f t="shared" si="8"/>
        <v>7.3379629629629628E-3</v>
      </c>
    </row>
    <row r="51" spans="1:27" x14ac:dyDescent="0.25">
      <c r="A51">
        <v>2</v>
      </c>
      <c r="B51" t="s">
        <v>359</v>
      </c>
      <c r="C51" t="s">
        <v>603</v>
      </c>
      <c r="D51">
        <v>2014</v>
      </c>
      <c r="E51" s="1">
        <v>0.57418981481481479</v>
      </c>
      <c r="F51" s="1">
        <v>0.5745717592592593</v>
      </c>
      <c r="G51" s="1">
        <v>0.57601851851851849</v>
      </c>
      <c r="H51" s="1">
        <v>0.57951388888888888</v>
      </c>
      <c r="I51" s="1">
        <v>0.57796296296296301</v>
      </c>
      <c r="J51" s="1">
        <v>0.57989583333333339</v>
      </c>
      <c r="K51" s="1">
        <v>0.5871643518518519</v>
      </c>
      <c r="L51" s="1">
        <v>0.5876851851851852</v>
      </c>
      <c r="M51" s="1">
        <v>0.58900462962962963</v>
      </c>
      <c r="N51" s="1" t="s">
        <v>361</v>
      </c>
      <c r="O51" s="1" t="s">
        <v>34</v>
      </c>
      <c r="P51" s="1" t="s">
        <v>55</v>
      </c>
      <c r="S51" s="1">
        <f t="shared" si="0"/>
        <v>3.8194444444450415E-4</v>
      </c>
      <c r="T51" s="1">
        <f t="shared" si="1"/>
        <v>1.4467592592591894E-3</v>
      </c>
      <c r="U51" s="1">
        <f t="shared" si="2"/>
        <v>1.9444444444445264E-3</v>
      </c>
      <c r="V51" s="1">
        <f t="shared" si="3"/>
        <v>3.4953703703703987E-3</v>
      </c>
      <c r="W51" s="1">
        <f t="shared" si="4"/>
        <v>3.8194444444450415E-4</v>
      </c>
      <c r="X51" s="1">
        <f t="shared" si="5"/>
        <v>9.201388888888884E-3</v>
      </c>
      <c r="Y51" s="1">
        <f t="shared" si="6"/>
        <v>1.1666666666666714E-2</v>
      </c>
      <c r="Z51" s="1">
        <f t="shared" si="7"/>
        <v>1.4814814814814836E-2</v>
      </c>
      <c r="AA51" s="1">
        <f t="shared" si="8"/>
        <v>1.8287037037036935E-3</v>
      </c>
    </row>
    <row r="52" spans="1:27" x14ac:dyDescent="0.25">
      <c r="A52">
        <v>3</v>
      </c>
      <c r="B52" t="s">
        <v>359</v>
      </c>
      <c r="C52" t="s">
        <v>362</v>
      </c>
      <c r="D52">
        <v>2018</v>
      </c>
      <c r="E52" s="1">
        <v>0.59677083333333336</v>
      </c>
      <c r="F52" s="1">
        <v>0.59718749999999998</v>
      </c>
      <c r="G52" s="1">
        <v>0.59835648148148146</v>
      </c>
      <c r="H52" s="1">
        <v>0.60118055555555561</v>
      </c>
      <c r="I52" s="1">
        <v>0.59917824074074078</v>
      </c>
      <c r="J52" s="1">
        <v>0.60390046296296296</v>
      </c>
      <c r="K52" s="1">
        <v>0.60717592592592595</v>
      </c>
      <c r="L52" s="1">
        <v>0.60751157407407408</v>
      </c>
      <c r="M52" s="1">
        <v>0.61016203703703709</v>
      </c>
      <c r="N52" s="1" t="s">
        <v>343</v>
      </c>
      <c r="O52" s="1" t="s">
        <v>34</v>
      </c>
      <c r="P52" s="1" t="s">
        <v>55</v>
      </c>
      <c r="S52" s="1">
        <f t="shared" si="0"/>
        <v>4.1666666666662078E-4</v>
      </c>
      <c r="T52" s="1">
        <f t="shared" si="1"/>
        <v>1.1689814814814792E-3</v>
      </c>
      <c r="U52" s="1">
        <f t="shared" si="2"/>
        <v>8.217592592593137E-4</v>
      </c>
      <c r="V52" s="1">
        <f t="shared" si="3"/>
        <v>2.8240740740741455E-3</v>
      </c>
      <c r="W52" s="1">
        <f t="shared" si="4"/>
        <v>2.7199074074073515E-3</v>
      </c>
      <c r="X52" s="1">
        <f t="shared" si="5"/>
        <v>7.9976851851851771E-3</v>
      </c>
      <c r="Y52" s="1">
        <f t="shared" si="6"/>
        <v>9.1550925925926174E-3</v>
      </c>
      <c r="Z52" s="1">
        <f t="shared" si="7"/>
        <v>1.3391203703703725E-2</v>
      </c>
      <c r="AA52" s="1">
        <f t="shared" si="8"/>
        <v>1.5856481481481E-3</v>
      </c>
    </row>
    <row r="53" spans="1:27" x14ac:dyDescent="0.25">
      <c r="A53">
        <v>1</v>
      </c>
      <c r="B53" t="s">
        <v>8</v>
      </c>
      <c r="C53" t="s">
        <v>17</v>
      </c>
      <c r="D53">
        <v>2009</v>
      </c>
      <c r="E53" s="1">
        <v>0.60440972222222222</v>
      </c>
      <c r="F53" s="1">
        <v>0.60465277777777782</v>
      </c>
      <c r="G53" s="1">
        <v>0.6058217592592593</v>
      </c>
      <c r="H53" s="1">
        <v>0.60960648148148144</v>
      </c>
      <c r="I53" s="1">
        <v>0.60717592592592595</v>
      </c>
      <c r="J53" s="1">
        <v>0.6106018518518519</v>
      </c>
      <c r="K53" s="1">
        <v>0.61828703703703702</v>
      </c>
      <c r="L53" s="1">
        <v>0.61864583333333334</v>
      </c>
      <c r="M53" s="1">
        <v>0.61986111111111108</v>
      </c>
      <c r="N53" s="1" t="s">
        <v>363</v>
      </c>
      <c r="O53" s="1" t="s">
        <v>578</v>
      </c>
      <c r="P53" s="1" t="s">
        <v>55</v>
      </c>
      <c r="S53" s="1">
        <f t="shared" si="0"/>
        <v>2.4305555555559355E-4</v>
      </c>
      <c r="T53" s="1">
        <f t="shared" si="1"/>
        <v>1.1689814814814792E-3</v>
      </c>
      <c r="U53" s="1">
        <f t="shared" si="2"/>
        <v>1.3541666666666563E-3</v>
      </c>
      <c r="V53" s="1">
        <f t="shared" si="3"/>
        <v>3.7847222222221477E-3</v>
      </c>
      <c r="W53" s="1">
        <f t="shared" si="4"/>
        <v>9.9537037037045195E-4</v>
      </c>
      <c r="X53" s="1">
        <f t="shared" si="5"/>
        <v>1.1111111111111072E-2</v>
      </c>
      <c r="Y53" s="1">
        <f t="shared" si="6"/>
        <v>1.2824074074074043E-2</v>
      </c>
      <c r="Z53" s="1">
        <f t="shared" si="7"/>
        <v>1.5451388888888862E-2</v>
      </c>
      <c r="AA53" s="1">
        <f t="shared" si="8"/>
        <v>1.4120370370370727E-3</v>
      </c>
    </row>
    <row r="54" spans="1:27" x14ac:dyDescent="0.25">
      <c r="A54">
        <v>2</v>
      </c>
      <c r="B54" t="s">
        <v>587</v>
      </c>
      <c r="C54" t="s">
        <v>604</v>
      </c>
      <c r="D54">
        <v>2015</v>
      </c>
      <c r="E54" s="1">
        <v>0.61099537037037033</v>
      </c>
      <c r="F54" s="1">
        <v>0.61140046296296291</v>
      </c>
      <c r="G54" s="1">
        <v>0.61238425925925921</v>
      </c>
      <c r="H54" s="1">
        <v>0.61486111111111108</v>
      </c>
      <c r="I54" s="1">
        <v>0.61336805555555551</v>
      </c>
      <c r="J54" s="1">
        <v>0.6166666666666667</v>
      </c>
      <c r="K54" s="1">
        <v>0.61962962962962964</v>
      </c>
      <c r="L54" s="1">
        <v>0.62013888888888891</v>
      </c>
      <c r="M54" s="1">
        <v>0.6206828703703704</v>
      </c>
      <c r="N54" s="1" t="s">
        <v>365</v>
      </c>
      <c r="O54" s="1" t="s">
        <v>578</v>
      </c>
      <c r="P54" s="1" t="s">
        <v>584</v>
      </c>
      <c r="S54" s="1">
        <f t="shared" si="0"/>
        <v>4.050925925925819E-4</v>
      </c>
      <c r="T54" s="1">
        <f t="shared" si="1"/>
        <v>9.8379629629630205E-4</v>
      </c>
      <c r="U54" s="1">
        <f t="shared" si="2"/>
        <v>9.8379629629630205E-4</v>
      </c>
      <c r="V54" s="1">
        <f t="shared" si="3"/>
        <v>2.476851851851869E-3</v>
      </c>
      <c r="W54" s="1">
        <f t="shared" si="4"/>
        <v>1.8055555555556158E-3</v>
      </c>
      <c r="X54" s="1">
        <f t="shared" si="5"/>
        <v>6.2615740740741277E-3</v>
      </c>
      <c r="Y54" s="1">
        <f t="shared" si="6"/>
        <v>7.7546296296296946E-3</v>
      </c>
      <c r="Z54" s="1">
        <f t="shared" si="7"/>
        <v>9.6875000000000711E-3</v>
      </c>
      <c r="AA54" s="1">
        <f t="shared" si="8"/>
        <v>1.388888888888884E-3</v>
      </c>
    </row>
    <row r="55" spans="1:27" x14ac:dyDescent="0.25">
      <c r="A55">
        <v>2</v>
      </c>
      <c r="B55" t="s">
        <v>8</v>
      </c>
      <c r="C55" t="s">
        <v>366</v>
      </c>
      <c r="D55">
        <v>2003</v>
      </c>
      <c r="E55" s="1">
        <v>0.61386574074074074</v>
      </c>
      <c r="F55" s="1">
        <v>0.61423611111111109</v>
      </c>
      <c r="G55" s="1">
        <v>0.62112268518518521</v>
      </c>
      <c r="H55" s="1">
        <v>0.62445601851851851</v>
      </c>
      <c r="I55" s="1">
        <v>0.62199074074074079</v>
      </c>
      <c r="J55" s="1">
        <v>0.62604166666666672</v>
      </c>
      <c r="K55" s="1">
        <v>0.62848379629629625</v>
      </c>
      <c r="L55" s="1">
        <v>0.62864583333333335</v>
      </c>
      <c r="M55" s="1">
        <v>0.62928240740740737</v>
      </c>
      <c r="N55" s="1" t="s">
        <v>343</v>
      </c>
      <c r="O55" s="1" t="s">
        <v>555</v>
      </c>
      <c r="P55" s="1" t="s">
        <v>55</v>
      </c>
      <c r="S55" s="1">
        <f t="shared" si="0"/>
        <v>3.7037037037035425E-4</v>
      </c>
      <c r="T55" s="1">
        <f t="shared" si="1"/>
        <v>6.8865740740741144E-3</v>
      </c>
      <c r="U55" s="1">
        <f t="shared" si="2"/>
        <v>8.6805555555558023E-4</v>
      </c>
      <c r="V55" s="1">
        <f t="shared" si="3"/>
        <v>3.3333333333332993E-3</v>
      </c>
      <c r="W55" s="1">
        <f t="shared" si="4"/>
        <v>1.585648148148211E-3</v>
      </c>
      <c r="X55" s="1">
        <f t="shared" si="5"/>
        <v>6.4930555555554603E-3</v>
      </c>
      <c r="Y55" s="1">
        <f t="shared" si="6"/>
        <v>7.5231481481481399E-3</v>
      </c>
      <c r="Z55" s="1">
        <f t="shared" si="7"/>
        <v>1.5416666666666634E-2</v>
      </c>
      <c r="AA55" s="1">
        <f t="shared" si="8"/>
        <v>7.2569444444444686E-3</v>
      </c>
    </row>
    <row r="56" spans="1:27" x14ac:dyDescent="0.25">
      <c r="A56">
        <v>3</v>
      </c>
      <c r="B56" t="s">
        <v>561</v>
      </c>
      <c r="C56" t="s">
        <v>652</v>
      </c>
      <c r="D56">
        <v>2019</v>
      </c>
      <c r="E56" s="1">
        <v>0.67106481481481484</v>
      </c>
      <c r="F56" s="1">
        <v>0.6712731481481482</v>
      </c>
      <c r="G56" s="1">
        <v>0.67268518518518516</v>
      </c>
      <c r="H56" s="1">
        <v>0.67600694444444442</v>
      </c>
      <c r="I56" s="1">
        <v>0.6738425925925926</v>
      </c>
      <c r="J56" s="1">
        <v>0.67975694444444446</v>
      </c>
      <c r="K56" s="1">
        <v>0.68273148148148144</v>
      </c>
      <c r="L56" s="1">
        <v>0.68300925925925926</v>
      </c>
      <c r="M56" s="1">
        <v>0.68425925925925923</v>
      </c>
      <c r="N56" s="1" t="s">
        <v>343</v>
      </c>
      <c r="O56" s="1" t="s">
        <v>34</v>
      </c>
      <c r="P56" s="1" t="s">
        <v>55</v>
      </c>
      <c r="S56" s="1">
        <f t="shared" si="0"/>
        <v>2.083333333333659E-4</v>
      </c>
      <c r="T56" s="1">
        <f t="shared" si="1"/>
        <v>1.4120370370369617E-3</v>
      </c>
      <c r="U56" s="1">
        <f t="shared" si="2"/>
        <v>1.1574074074074403E-3</v>
      </c>
      <c r="V56" s="1">
        <f t="shared" si="3"/>
        <v>3.3217592592592604E-3</v>
      </c>
      <c r="W56" s="1">
        <f t="shared" si="4"/>
        <v>3.7500000000000311E-3</v>
      </c>
      <c r="X56" s="1">
        <f t="shared" si="5"/>
        <v>8.8888888888888351E-3</v>
      </c>
      <c r="Y56" s="1">
        <f t="shared" si="6"/>
        <v>1.0324074074074097E-2</v>
      </c>
      <c r="Z56" s="1">
        <f t="shared" si="7"/>
        <v>1.3194444444444398E-2</v>
      </c>
      <c r="AA56" s="1">
        <f t="shared" si="8"/>
        <v>1.6203703703703276E-3</v>
      </c>
    </row>
    <row r="57" spans="1:27" x14ac:dyDescent="0.25">
      <c r="A57">
        <v>1</v>
      </c>
      <c r="B57" t="s">
        <v>564</v>
      </c>
      <c r="C57" t="s">
        <v>369</v>
      </c>
      <c r="D57">
        <v>2013</v>
      </c>
      <c r="E57" s="1">
        <v>0.73524305555555558</v>
      </c>
      <c r="F57" s="1">
        <v>0.73548611111111106</v>
      </c>
      <c r="G57" s="1">
        <v>0.73599537037037033</v>
      </c>
      <c r="H57" s="1">
        <v>0.73934027777777778</v>
      </c>
      <c r="I57" s="1">
        <v>0.73717592592592596</v>
      </c>
      <c r="J57" s="1">
        <v>0.74083333333333334</v>
      </c>
      <c r="K57" s="1">
        <v>0.75200231481481483</v>
      </c>
      <c r="L57" s="1">
        <v>0.75230324074074073</v>
      </c>
      <c r="M57" s="1">
        <v>0.75304398148148144</v>
      </c>
      <c r="N57" s="1" t="s">
        <v>370</v>
      </c>
      <c r="O57" s="1" t="s">
        <v>34</v>
      </c>
      <c r="P57" s="1" t="s">
        <v>55</v>
      </c>
      <c r="S57" s="1">
        <f t="shared" si="0"/>
        <v>2.4305555555548253E-4</v>
      </c>
      <c r="T57" s="1">
        <f t="shared" si="1"/>
        <v>5.0925925925926485E-4</v>
      </c>
      <c r="U57" s="1">
        <f t="shared" si="2"/>
        <v>1.1805555555556291E-3</v>
      </c>
      <c r="V57" s="1">
        <f t="shared" si="3"/>
        <v>3.3449074074074492E-3</v>
      </c>
      <c r="W57" s="1">
        <f>J57-H57</f>
        <v>1.4930555555555669E-3</v>
      </c>
      <c r="X57" s="1">
        <f t="shared" si="5"/>
        <v>1.4826388888888875E-2</v>
      </c>
      <c r="Y57" s="1">
        <f t="shared" si="6"/>
        <v>1.6307870370370403E-2</v>
      </c>
      <c r="Z57" s="1">
        <f t="shared" si="7"/>
        <v>1.7800925925925859E-2</v>
      </c>
      <c r="AA57" s="1">
        <f t="shared" si="8"/>
        <v>7.5231481481474738E-4</v>
      </c>
    </row>
    <row r="58" spans="1:27" x14ac:dyDescent="0.25">
      <c r="A58">
        <v>1</v>
      </c>
      <c r="B58" t="s">
        <v>11</v>
      </c>
      <c r="C58" t="s">
        <v>646</v>
      </c>
      <c r="D58">
        <v>2019</v>
      </c>
      <c r="E58" s="1">
        <v>0.4855902777777778</v>
      </c>
      <c r="F58" s="1">
        <v>0.48587962962962961</v>
      </c>
      <c r="G58" s="1">
        <v>0.48712962962962963</v>
      </c>
      <c r="H58" s="1">
        <v>0.48996527777777776</v>
      </c>
      <c r="I58" s="1">
        <v>0.4881712962962963</v>
      </c>
      <c r="J58" s="1">
        <v>0.49259259259259258</v>
      </c>
      <c r="K58" s="1">
        <v>0.49706018518518519</v>
      </c>
      <c r="L58" s="1">
        <v>0.50090277777777781</v>
      </c>
      <c r="M58" s="1">
        <v>0.50497685185185182</v>
      </c>
      <c r="N58" s="1" t="s">
        <v>54</v>
      </c>
      <c r="O58" s="1" t="s">
        <v>34</v>
      </c>
      <c r="P58" s="1" t="s">
        <v>55</v>
      </c>
      <c r="S58" s="1">
        <f t="shared" si="0"/>
        <v>2.8935185185180456E-4</v>
      </c>
      <c r="T58" s="1">
        <f t="shared" si="1"/>
        <v>1.2500000000000289E-3</v>
      </c>
      <c r="U58" s="1">
        <f t="shared" si="2"/>
        <v>1.041666666666663E-3</v>
      </c>
      <c r="V58" s="1">
        <f t="shared" si="3"/>
        <v>2.8356481481481288E-3</v>
      </c>
      <c r="W58" s="1">
        <f t="shared" si="4"/>
        <v>2.6273148148148184E-3</v>
      </c>
      <c r="X58" s="1">
        <f t="shared" si="5"/>
        <v>8.8888888888888906E-3</v>
      </c>
      <c r="Y58" s="1">
        <f t="shared" si="6"/>
        <v>1.3773148148148173E-2</v>
      </c>
      <c r="Z58" s="1">
        <f t="shared" si="7"/>
        <v>1.9386574074074014E-2</v>
      </c>
      <c r="AA58" s="1">
        <f t="shared" si="8"/>
        <v>1.5393518518518334E-3</v>
      </c>
    </row>
    <row r="59" spans="1:27" x14ac:dyDescent="0.25">
      <c r="A59">
        <v>2</v>
      </c>
      <c r="B59" t="s">
        <v>8</v>
      </c>
      <c r="C59" t="s">
        <v>24</v>
      </c>
      <c r="D59">
        <v>2003</v>
      </c>
      <c r="E59" s="1">
        <v>0.48690972222222223</v>
      </c>
      <c r="F59" s="1">
        <v>0.48744212962962963</v>
      </c>
      <c r="G59" s="1">
        <v>0.49439814814814814</v>
      </c>
      <c r="H59" s="1">
        <v>0.50357638888888889</v>
      </c>
      <c r="I59" s="1">
        <v>0.49653935185185183</v>
      </c>
      <c r="J59" s="1">
        <v>0.50412037037037039</v>
      </c>
      <c r="K59" s="1">
        <v>0.51071759259259264</v>
      </c>
      <c r="L59" s="1">
        <v>0.51467592592592593</v>
      </c>
      <c r="M59" s="1">
        <v>0.5159259259259259</v>
      </c>
      <c r="N59" s="1" t="s">
        <v>54</v>
      </c>
      <c r="O59" s="1" t="s">
        <v>34</v>
      </c>
      <c r="P59" s="1" t="s">
        <v>55</v>
      </c>
      <c r="S59" s="1">
        <f t="shared" si="0"/>
        <v>5.3240740740739811E-4</v>
      </c>
      <c r="T59" s="1">
        <f t="shared" si="1"/>
        <v>6.9560185185185142E-3</v>
      </c>
      <c r="U59" s="1">
        <f t="shared" si="2"/>
        <v>2.1412037037036868E-3</v>
      </c>
      <c r="V59" s="1">
        <f t="shared" si="3"/>
        <v>9.1782407407407507E-3</v>
      </c>
      <c r="W59" s="1">
        <f t="shared" si="4"/>
        <v>5.439814814814925E-4</v>
      </c>
      <c r="X59" s="1">
        <f t="shared" si="5"/>
        <v>1.4178240740740811E-2</v>
      </c>
      <c r="Y59" s="1">
        <f t="shared" si="6"/>
        <v>2.0277777777777783E-2</v>
      </c>
      <c r="Z59" s="1">
        <f t="shared" si="7"/>
        <v>2.9016203703703669E-2</v>
      </c>
      <c r="AA59" s="1">
        <f t="shared" si="8"/>
        <v>7.4884259259259123E-3</v>
      </c>
    </row>
    <row r="60" spans="1:27" x14ac:dyDescent="0.25">
      <c r="A60">
        <v>4</v>
      </c>
      <c r="B60" t="s">
        <v>687</v>
      </c>
      <c r="C60" t="s">
        <v>373</v>
      </c>
      <c r="D60">
        <v>2008</v>
      </c>
      <c r="E60" s="1">
        <v>0.50414351851851846</v>
      </c>
      <c r="F60" s="1">
        <v>0.5055439814814815</v>
      </c>
      <c r="G60" s="1">
        <v>0.50677083333333328</v>
      </c>
      <c r="H60" s="1">
        <v>0.51108796296296299</v>
      </c>
      <c r="I60" s="1">
        <v>0.50815972222222228</v>
      </c>
      <c r="J60" s="1">
        <v>0.51261574074074079</v>
      </c>
      <c r="K60" s="1">
        <v>0.52175925925925926</v>
      </c>
      <c r="L60" s="1">
        <v>0.52396990740740745</v>
      </c>
      <c r="M60" s="1">
        <v>0.52509259259259256</v>
      </c>
      <c r="N60" s="1" t="s">
        <v>343</v>
      </c>
      <c r="O60" s="1" t="s">
        <v>555</v>
      </c>
      <c r="P60" s="1" t="s">
        <v>55</v>
      </c>
      <c r="S60" s="1">
        <f t="shared" si="0"/>
        <v>1.4004629629630339E-3</v>
      </c>
      <c r="T60" s="1">
        <f t="shared" si="1"/>
        <v>1.2268518518517846E-3</v>
      </c>
      <c r="U60" s="1">
        <f t="shared" si="2"/>
        <v>1.388888888888995E-3</v>
      </c>
      <c r="V60" s="1">
        <f t="shared" si="3"/>
        <v>4.3171296296297124E-3</v>
      </c>
      <c r="W60" s="1">
        <f t="shared" si="4"/>
        <v>1.5277777777777946E-3</v>
      </c>
      <c r="X60" s="1">
        <f t="shared" si="5"/>
        <v>1.3599537037036979E-2</v>
      </c>
      <c r="Y60" s="1">
        <f t="shared" si="6"/>
        <v>1.7199074074074172E-2</v>
      </c>
      <c r="Z60" s="1">
        <f t="shared" si="7"/>
        <v>2.0949074074074092E-2</v>
      </c>
      <c r="AA60" s="1">
        <f t="shared" si="8"/>
        <v>2.6273148148148184E-3</v>
      </c>
    </row>
    <row r="61" spans="1:27" x14ac:dyDescent="0.25">
      <c r="A61">
        <v>1</v>
      </c>
      <c r="B61" t="s">
        <v>565</v>
      </c>
      <c r="C61" t="s">
        <v>662</v>
      </c>
      <c r="D61">
        <v>2016</v>
      </c>
      <c r="E61" s="1">
        <v>0.50464120370370369</v>
      </c>
      <c r="F61" s="1">
        <v>0.50534722222222217</v>
      </c>
      <c r="G61" s="1">
        <v>0.51101851851851854</v>
      </c>
      <c r="H61" s="1">
        <v>0.5190393518518519</v>
      </c>
      <c r="I61" s="1">
        <v>0.51184027777777774</v>
      </c>
      <c r="J61" s="1">
        <v>0.52043981481481483</v>
      </c>
      <c r="K61" s="1">
        <v>0.5274537037037037</v>
      </c>
      <c r="L61" s="1">
        <v>0.52773148148148152</v>
      </c>
      <c r="M61" s="1">
        <v>0.52891203703703704</v>
      </c>
      <c r="N61" s="1" t="s">
        <v>338</v>
      </c>
      <c r="O61" s="1" t="s">
        <v>578</v>
      </c>
      <c r="P61" s="1" t="s">
        <v>55</v>
      </c>
      <c r="S61" s="1">
        <f t="shared" si="0"/>
        <v>7.0601851851848085E-4</v>
      </c>
      <c r="T61" s="1">
        <f t="shared" si="1"/>
        <v>5.6712962962963687E-3</v>
      </c>
      <c r="U61" s="1">
        <f t="shared" si="2"/>
        <v>8.2175925925920268E-4</v>
      </c>
      <c r="V61" s="1">
        <f t="shared" si="3"/>
        <v>8.0208333333333659E-3</v>
      </c>
      <c r="W61" s="1">
        <f t="shared" si="4"/>
        <v>1.4004629629629228E-3</v>
      </c>
      <c r="X61" s="1">
        <f t="shared" si="5"/>
        <v>1.5613425925925961E-2</v>
      </c>
      <c r="Y61" s="1">
        <f t="shared" si="6"/>
        <v>1.6712962962962985E-2</v>
      </c>
      <c r="Z61" s="1">
        <f t="shared" si="7"/>
        <v>2.4270833333333353E-2</v>
      </c>
      <c r="AA61" s="1">
        <f t="shared" si="8"/>
        <v>6.3773148148148495E-3</v>
      </c>
    </row>
    <row r="62" spans="1:27" x14ac:dyDescent="0.25">
      <c r="A62">
        <v>2</v>
      </c>
      <c r="B62" t="s">
        <v>8</v>
      </c>
      <c r="C62" t="s">
        <v>353</v>
      </c>
      <c r="D62">
        <v>2016</v>
      </c>
      <c r="E62" s="1">
        <v>0.50695601851851857</v>
      </c>
      <c r="F62" s="1">
        <v>0.50739583333333338</v>
      </c>
      <c r="G62" s="1">
        <v>0.5169097222222222</v>
      </c>
      <c r="H62" s="1">
        <v>0.52497685185185183</v>
      </c>
      <c r="I62" s="1">
        <v>0.51749999999999996</v>
      </c>
      <c r="J62" s="1">
        <v>0.52636574074074072</v>
      </c>
      <c r="K62" s="1">
        <v>0.53107638888888886</v>
      </c>
      <c r="L62" s="1">
        <v>0.53383101851851855</v>
      </c>
      <c r="M62" s="1">
        <v>0.53423611111111113</v>
      </c>
      <c r="N62" s="1" t="s">
        <v>343</v>
      </c>
      <c r="O62" s="1" t="s">
        <v>34</v>
      </c>
      <c r="P62" s="1" t="s">
        <v>55</v>
      </c>
      <c r="S62" s="1">
        <f t="shared" si="0"/>
        <v>4.3981481481480955E-4</v>
      </c>
      <c r="T62" s="1">
        <f t="shared" si="1"/>
        <v>9.5138888888888218E-3</v>
      </c>
      <c r="U62" s="1">
        <f t="shared" si="2"/>
        <v>5.9027777777775903E-4</v>
      </c>
      <c r="V62" s="1">
        <f t="shared" si="3"/>
        <v>8.0671296296296324E-3</v>
      </c>
      <c r="W62" s="1">
        <f t="shared" si="4"/>
        <v>1.388888888888884E-3</v>
      </c>
      <c r="X62" s="1">
        <f t="shared" si="5"/>
        <v>1.3576388888888902E-2</v>
      </c>
      <c r="Y62" s="1">
        <f t="shared" si="6"/>
        <v>1.6921296296296351E-2</v>
      </c>
      <c r="Z62" s="1">
        <f t="shared" si="7"/>
        <v>2.7280092592592564E-2</v>
      </c>
      <c r="AA62" s="1">
        <f t="shared" si="8"/>
        <v>9.9537037037036313E-3</v>
      </c>
    </row>
    <row r="63" spans="1:27" x14ac:dyDescent="0.25">
      <c r="A63">
        <v>4</v>
      </c>
      <c r="B63" t="s">
        <v>376</v>
      </c>
      <c r="C63" t="s">
        <v>377</v>
      </c>
      <c r="D63">
        <v>2012</v>
      </c>
      <c r="E63" s="1">
        <v>0.50850694444444444</v>
      </c>
      <c r="F63" s="1">
        <v>0.50914351851851847</v>
      </c>
      <c r="G63" s="1">
        <v>0.52592592592592591</v>
      </c>
      <c r="H63" s="1">
        <v>0.53317129629629634</v>
      </c>
      <c r="I63" s="1">
        <v>0.52798611111111116</v>
      </c>
      <c r="J63" s="1">
        <v>0.53591435185185188</v>
      </c>
      <c r="K63" s="1">
        <v>0.5393634259259259</v>
      </c>
      <c r="L63" s="1">
        <v>0.54465277777777776</v>
      </c>
      <c r="M63" s="1">
        <v>0.54501157407407408</v>
      </c>
      <c r="N63" s="1" t="s">
        <v>378</v>
      </c>
      <c r="O63" s="1" t="s">
        <v>34</v>
      </c>
      <c r="P63" s="1" t="s">
        <v>605</v>
      </c>
      <c r="S63" s="1">
        <f t="shared" si="0"/>
        <v>6.3657407407402555E-4</v>
      </c>
      <c r="T63" s="1">
        <f t="shared" si="1"/>
        <v>1.678240740740744E-2</v>
      </c>
      <c r="U63" s="1">
        <f t="shared" si="2"/>
        <v>2.0601851851852482E-3</v>
      </c>
      <c r="V63" s="1">
        <f t="shared" si="3"/>
        <v>7.2453703703704297E-3</v>
      </c>
      <c r="W63" s="1">
        <f t="shared" si="4"/>
        <v>2.7430555555555403E-3</v>
      </c>
      <c r="X63" s="1">
        <f t="shared" si="5"/>
        <v>1.1377314814814743E-2</v>
      </c>
      <c r="Y63" s="1">
        <f t="shared" si="6"/>
        <v>1.8726851851851856E-2</v>
      </c>
      <c r="Z63" s="1">
        <f t="shared" si="7"/>
        <v>3.6504629629629637E-2</v>
      </c>
      <c r="AA63" s="1">
        <f t="shared" si="8"/>
        <v>1.7418981481481466E-2</v>
      </c>
    </row>
    <row r="64" spans="1:27" x14ac:dyDescent="0.25">
      <c r="A64">
        <v>1</v>
      </c>
      <c r="B64" t="s">
        <v>380</v>
      </c>
      <c r="C64" t="s">
        <v>663</v>
      </c>
      <c r="D64">
        <v>2018</v>
      </c>
      <c r="E64" s="1">
        <v>0.51938657407407407</v>
      </c>
      <c r="F64" s="1">
        <v>0.51982638888888888</v>
      </c>
      <c r="G64" s="1">
        <v>0.53037037037037038</v>
      </c>
      <c r="H64" s="1">
        <v>0.53728009259259257</v>
      </c>
      <c r="I64" s="1">
        <v>0.53121527777777777</v>
      </c>
      <c r="J64" s="1">
        <v>0.54351851851851851</v>
      </c>
      <c r="K64" s="1">
        <v>0.54809027777777775</v>
      </c>
      <c r="L64" s="1">
        <v>0.54840277777777779</v>
      </c>
      <c r="M64" s="1">
        <v>0.54865740740740743</v>
      </c>
      <c r="N64" s="1" t="s">
        <v>382</v>
      </c>
      <c r="O64" s="1" t="s">
        <v>34</v>
      </c>
      <c r="P64" s="1" t="s">
        <v>55</v>
      </c>
      <c r="S64" s="1">
        <f t="shared" si="0"/>
        <v>4.3981481481480955E-4</v>
      </c>
      <c r="T64" s="1">
        <f t="shared" si="1"/>
        <v>1.0543981481481501E-2</v>
      </c>
      <c r="U64" s="1">
        <f t="shared" si="2"/>
        <v>8.4490740740739145E-4</v>
      </c>
      <c r="V64" s="1">
        <f t="shared" si="3"/>
        <v>6.9097222222221921E-3</v>
      </c>
      <c r="W64" s="1">
        <f t="shared" si="4"/>
        <v>6.2384259259259389E-3</v>
      </c>
      <c r="X64" s="1">
        <f t="shared" si="5"/>
        <v>1.6874999999999973E-2</v>
      </c>
      <c r="Y64" s="1">
        <f t="shared" si="6"/>
        <v>1.8032407407407414E-2</v>
      </c>
      <c r="Z64" s="1">
        <f t="shared" si="7"/>
        <v>2.9270833333333357E-2</v>
      </c>
      <c r="AA64" s="1">
        <f t="shared" si="8"/>
        <v>1.0983796296296311E-2</v>
      </c>
    </row>
    <row r="65" spans="1:27" x14ac:dyDescent="0.25">
      <c r="A65">
        <v>2</v>
      </c>
      <c r="B65" t="s">
        <v>8</v>
      </c>
      <c r="C65" t="s">
        <v>383</v>
      </c>
      <c r="D65">
        <v>2015</v>
      </c>
      <c r="E65" s="1">
        <v>0.56087962962962967</v>
      </c>
      <c r="F65" s="1">
        <v>0.5610532407407407</v>
      </c>
      <c r="G65" s="1">
        <v>0.56163194444444442</v>
      </c>
      <c r="H65" s="1">
        <v>0.56678240740740737</v>
      </c>
      <c r="I65" s="1">
        <v>0.56270833333333337</v>
      </c>
      <c r="J65" s="1">
        <v>0.56806712962962957</v>
      </c>
      <c r="K65" s="1">
        <v>0.57074074074074077</v>
      </c>
      <c r="L65" s="1">
        <v>0.57101851851851848</v>
      </c>
      <c r="M65" s="1">
        <v>0.57239583333333333</v>
      </c>
      <c r="N65" s="1" t="s">
        <v>384</v>
      </c>
      <c r="O65" s="1" t="s">
        <v>555</v>
      </c>
      <c r="P65" s="1" t="s">
        <v>55</v>
      </c>
      <c r="S65" s="1">
        <f t="shared" si="0"/>
        <v>1.7361111111102723E-4</v>
      </c>
      <c r="T65" s="1">
        <f t="shared" si="1"/>
        <v>5.7870370370372015E-4</v>
      </c>
      <c r="U65" s="1">
        <f t="shared" si="2"/>
        <v>1.0763888888889461E-3</v>
      </c>
      <c r="V65" s="1">
        <f t="shared" si="3"/>
        <v>5.1504629629629539E-3</v>
      </c>
      <c r="W65" s="1">
        <f t="shared" si="4"/>
        <v>1.284722222222201E-3</v>
      </c>
      <c r="X65" s="1">
        <f t="shared" si="5"/>
        <v>8.0324074074074048E-3</v>
      </c>
      <c r="Y65" s="1">
        <f t="shared" si="6"/>
        <v>9.3865740740740611E-3</v>
      </c>
      <c r="Z65" s="1">
        <f t="shared" si="7"/>
        <v>1.1516203703703654E-2</v>
      </c>
      <c r="AA65" s="1">
        <f t="shared" si="8"/>
        <v>7.5231481481474738E-4</v>
      </c>
    </row>
    <row r="66" spans="1:27" x14ac:dyDescent="0.25">
      <c r="A66">
        <v>2</v>
      </c>
      <c r="B66" t="s">
        <v>8</v>
      </c>
      <c r="C66" t="s">
        <v>385</v>
      </c>
      <c r="D66">
        <v>2015</v>
      </c>
      <c r="E66" s="1">
        <v>0.57369212962962968</v>
      </c>
      <c r="F66" s="1">
        <v>0.57393518518518516</v>
      </c>
      <c r="G66" s="1">
        <v>0.57469907407407406</v>
      </c>
      <c r="H66" s="1">
        <v>0.57730324074074069</v>
      </c>
      <c r="I66" s="1">
        <v>0.5761574074074074</v>
      </c>
      <c r="J66" s="1">
        <v>0.57913194444444449</v>
      </c>
      <c r="K66" s="1">
        <v>0.58237268518518515</v>
      </c>
      <c r="L66" s="1">
        <v>0.58368055555555554</v>
      </c>
      <c r="M66" s="1">
        <v>0.58519675925925929</v>
      </c>
      <c r="N66" s="1" t="s">
        <v>54</v>
      </c>
      <c r="O66" s="1" t="s">
        <v>34</v>
      </c>
      <c r="P66" s="1" t="s">
        <v>55</v>
      </c>
      <c r="S66" s="1">
        <f t="shared" si="0"/>
        <v>2.4305555555548253E-4</v>
      </c>
      <c r="T66" s="1">
        <f t="shared" si="1"/>
        <v>7.6388888888889728E-4</v>
      </c>
      <c r="U66" s="1">
        <f t="shared" si="2"/>
        <v>1.4583333333333393E-3</v>
      </c>
      <c r="V66" s="1">
        <f t="shared" si="3"/>
        <v>2.6041666666666297E-3</v>
      </c>
      <c r="W66" s="1">
        <f t="shared" si="4"/>
        <v>1.8287037037038045E-3</v>
      </c>
      <c r="X66" s="1">
        <f t="shared" si="5"/>
        <v>6.2152777777777501E-3</v>
      </c>
      <c r="Y66" s="1">
        <f t="shared" si="6"/>
        <v>8.9814814814814792E-3</v>
      </c>
      <c r="Z66" s="1">
        <f t="shared" si="7"/>
        <v>1.1504629629629615E-2</v>
      </c>
      <c r="AA66" s="1">
        <f t="shared" si="8"/>
        <v>1.0069444444443798E-3</v>
      </c>
    </row>
    <row r="67" spans="1:27" x14ac:dyDescent="0.25">
      <c r="A67">
        <v>1</v>
      </c>
      <c r="B67" t="s">
        <v>380</v>
      </c>
      <c r="C67" t="s">
        <v>663</v>
      </c>
      <c r="D67">
        <v>2019</v>
      </c>
      <c r="E67" s="1">
        <v>0.58741898148148153</v>
      </c>
      <c r="F67" s="1">
        <v>0.58751157407407406</v>
      </c>
      <c r="G67" s="1">
        <v>0.58807870370370374</v>
      </c>
      <c r="H67" s="1">
        <v>0.59094907407407404</v>
      </c>
      <c r="I67" s="1">
        <v>0.58868055555555554</v>
      </c>
      <c r="J67" s="1">
        <v>0.5917013888888889</v>
      </c>
      <c r="K67" s="1">
        <v>0.59706018518518522</v>
      </c>
      <c r="L67" s="1">
        <v>0.61321759259259256</v>
      </c>
      <c r="M67" s="1">
        <v>0.61684027777777772</v>
      </c>
      <c r="N67" s="1" t="s">
        <v>674</v>
      </c>
      <c r="O67" s="1" t="s">
        <v>34</v>
      </c>
      <c r="P67" s="1" t="s">
        <v>55</v>
      </c>
      <c r="S67" s="1">
        <f t="shared" ref="S67:S130" si="9">F67-E67</f>
        <v>9.2592592592533052E-5</v>
      </c>
      <c r="T67" s="1">
        <f t="shared" ref="T67:T130" si="10">G67-F67</f>
        <v>5.6712962962968128E-4</v>
      </c>
      <c r="U67" s="1">
        <f t="shared" ref="U67:U130" si="11">I67-G67</f>
        <v>6.018518518517979E-4</v>
      </c>
      <c r="V67" s="1">
        <f t="shared" ref="V67:V130" si="12">H67-G67</f>
        <v>2.870370370370301E-3</v>
      </c>
      <c r="W67" s="1">
        <f t="shared" ref="W67:W130" si="13">J67-H67</f>
        <v>7.523148148148584E-4</v>
      </c>
      <c r="X67" s="1">
        <f t="shared" ref="X67:X130" si="14">K67-I67</f>
        <v>8.3796296296296813E-3</v>
      </c>
      <c r="Y67" s="1">
        <f t="shared" ref="Y67:Y130" si="15">L67-G67</f>
        <v>2.5138888888888822E-2</v>
      </c>
      <c r="Z67" s="1">
        <f t="shared" ref="Z67:Z130" si="16">M67-E67</f>
        <v>2.9421296296296195E-2</v>
      </c>
      <c r="AA67" s="1">
        <f t="shared" ref="AA67:AA130" si="17">T67+S67</f>
        <v>6.5972222222221433E-4</v>
      </c>
    </row>
    <row r="68" spans="1:27" x14ac:dyDescent="0.25">
      <c r="A68">
        <v>2</v>
      </c>
      <c r="B68" t="s">
        <v>606</v>
      </c>
      <c r="C68" t="s">
        <v>607</v>
      </c>
      <c r="D68">
        <v>2020</v>
      </c>
      <c r="E68" s="1">
        <v>0.5988310185185185</v>
      </c>
      <c r="F68" s="1">
        <v>0.59931712962962957</v>
      </c>
      <c r="G68" s="1">
        <v>0.60017361111111112</v>
      </c>
      <c r="H68" s="1">
        <v>0.60405092592592591</v>
      </c>
      <c r="I68" s="1">
        <v>0.60103009259259255</v>
      </c>
      <c r="J68" s="1">
        <v>0.6058217592592593</v>
      </c>
      <c r="K68" s="1">
        <v>0.61344907407407412</v>
      </c>
      <c r="L68" s="1">
        <v>0.61828703703703702</v>
      </c>
      <c r="M68" s="1">
        <v>0.61890046296296297</v>
      </c>
      <c r="N68" s="1" t="s">
        <v>675</v>
      </c>
      <c r="O68" s="1" t="s">
        <v>34</v>
      </c>
      <c r="P68" s="1" t="s">
        <v>605</v>
      </c>
      <c r="S68" s="1">
        <f t="shared" si="9"/>
        <v>4.8611111111107608E-4</v>
      </c>
      <c r="T68" s="1">
        <f t="shared" si="10"/>
        <v>8.5648148148154135E-4</v>
      </c>
      <c r="U68" s="1">
        <f t="shared" si="11"/>
        <v>8.5648148148143033E-4</v>
      </c>
      <c r="V68" s="1">
        <f t="shared" si="12"/>
        <v>3.8773148148147918E-3</v>
      </c>
      <c r="W68" s="1">
        <f t="shared" si="13"/>
        <v>1.7708333333333881E-3</v>
      </c>
      <c r="X68" s="1">
        <f t="shared" si="14"/>
        <v>1.2418981481481572E-2</v>
      </c>
      <c r="Y68" s="1">
        <f t="shared" si="15"/>
        <v>1.8113425925925908E-2</v>
      </c>
      <c r="Z68" s="1">
        <f t="shared" si="16"/>
        <v>2.0069444444444473E-2</v>
      </c>
      <c r="AA68" s="1">
        <f t="shared" si="17"/>
        <v>1.3425925925926174E-3</v>
      </c>
    </row>
    <row r="69" spans="1:27" x14ac:dyDescent="0.25">
      <c r="A69">
        <v>4</v>
      </c>
      <c r="B69" t="s">
        <v>653</v>
      </c>
      <c r="C69" t="s">
        <v>391</v>
      </c>
      <c r="D69">
        <v>2006</v>
      </c>
      <c r="E69" s="1">
        <v>0.61037037037037034</v>
      </c>
      <c r="F69" s="1">
        <v>0.61054398148148148</v>
      </c>
      <c r="G69" s="1">
        <v>0.6111226851851852</v>
      </c>
      <c r="H69" s="1">
        <v>0.61517361111111113</v>
      </c>
      <c r="I69" s="1">
        <v>0.61260416666666662</v>
      </c>
      <c r="J69" s="1">
        <v>0.61701388888888886</v>
      </c>
      <c r="K69" s="1">
        <v>0.62156250000000002</v>
      </c>
      <c r="L69" s="1">
        <v>0.62759259259259259</v>
      </c>
      <c r="M69" s="1">
        <v>0.62783564814814818</v>
      </c>
      <c r="N69" s="1" t="s">
        <v>392</v>
      </c>
      <c r="O69" s="1" t="s">
        <v>34</v>
      </c>
      <c r="P69" s="1" t="s">
        <v>55</v>
      </c>
      <c r="S69" s="1">
        <f t="shared" si="9"/>
        <v>1.7361111111113825E-4</v>
      </c>
      <c r="T69" s="1">
        <f t="shared" si="10"/>
        <v>5.7870370370372015E-4</v>
      </c>
      <c r="U69" s="1">
        <f t="shared" si="11"/>
        <v>1.481481481481417E-3</v>
      </c>
      <c r="V69" s="1">
        <f t="shared" si="12"/>
        <v>4.05092592592593E-3</v>
      </c>
      <c r="W69" s="1">
        <f t="shared" si="13"/>
        <v>1.8402777777777324E-3</v>
      </c>
      <c r="X69" s="1">
        <f t="shared" si="14"/>
        <v>8.9583333333334014E-3</v>
      </c>
      <c r="Y69" s="1">
        <f t="shared" si="15"/>
        <v>1.6469907407407391E-2</v>
      </c>
      <c r="Z69" s="1">
        <f t="shared" si="16"/>
        <v>1.7465277777777843E-2</v>
      </c>
      <c r="AA69" s="1">
        <f t="shared" si="17"/>
        <v>7.523148148148584E-4</v>
      </c>
    </row>
    <row r="70" spans="1:27" x14ac:dyDescent="0.25">
      <c r="A70">
        <v>3</v>
      </c>
      <c r="B70" t="s">
        <v>393</v>
      </c>
      <c r="C70" t="s">
        <v>239</v>
      </c>
      <c r="D70">
        <v>2018</v>
      </c>
      <c r="E70" s="1">
        <v>0.61627314814814815</v>
      </c>
      <c r="F70" s="1">
        <v>0.61644675925925929</v>
      </c>
      <c r="G70" s="1">
        <v>0.61763888888888885</v>
      </c>
      <c r="H70" s="1">
        <v>0.62171296296296297</v>
      </c>
      <c r="I70" s="1">
        <v>0.61962962962962964</v>
      </c>
      <c r="J70" s="1">
        <v>0.62315972222222227</v>
      </c>
      <c r="K70" s="1">
        <v>0.62746527777777783</v>
      </c>
      <c r="L70" s="1">
        <v>0.6281944444444445</v>
      </c>
      <c r="M70" s="1">
        <v>0.6285532407407407</v>
      </c>
      <c r="N70" s="1" t="s">
        <v>333</v>
      </c>
      <c r="O70" s="1" t="s">
        <v>555</v>
      </c>
      <c r="P70" s="1" t="s">
        <v>55</v>
      </c>
      <c r="S70" s="1">
        <f t="shared" si="9"/>
        <v>1.7361111111113825E-4</v>
      </c>
      <c r="T70" s="1">
        <f t="shared" si="10"/>
        <v>1.1921296296295569E-3</v>
      </c>
      <c r="U70" s="1">
        <f t="shared" si="11"/>
        <v>1.9907407407407929E-3</v>
      </c>
      <c r="V70" s="1">
        <f t="shared" si="12"/>
        <v>4.0740740740741188E-3</v>
      </c>
      <c r="W70" s="1">
        <f t="shared" si="13"/>
        <v>1.4467592592593004E-3</v>
      </c>
      <c r="X70" s="1">
        <f t="shared" si="14"/>
        <v>7.8356481481481888E-3</v>
      </c>
      <c r="Y70" s="1">
        <f t="shared" si="15"/>
        <v>1.0555555555555651E-2</v>
      </c>
      <c r="Z70" s="1">
        <f t="shared" si="16"/>
        <v>1.2280092592592551E-2</v>
      </c>
      <c r="AA70" s="1">
        <f t="shared" si="17"/>
        <v>1.3657407407406952E-3</v>
      </c>
    </row>
    <row r="71" spans="1:27" x14ac:dyDescent="0.25">
      <c r="A71">
        <v>1</v>
      </c>
      <c r="B71" t="s">
        <v>608</v>
      </c>
      <c r="C71" t="s">
        <v>609</v>
      </c>
      <c r="D71">
        <v>2012</v>
      </c>
      <c r="E71" s="1">
        <v>0.64862268518518518</v>
      </c>
      <c r="F71" s="1">
        <v>0.648900462962963</v>
      </c>
      <c r="G71" s="1">
        <v>0.64983796296296292</v>
      </c>
      <c r="H71" s="1">
        <v>0.65167824074074077</v>
      </c>
      <c r="I71" s="1">
        <v>0.6509490740740741</v>
      </c>
      <c r="J71" s="1">
        <v>0.65869212962962964</v>
      </c>
      <c r="K71" s="1">
        <v>0.66284722222222225</v>
      </c>
      <c r="L71" s="1">
        <v>0.66387731481481482</v>
      </c>
      <c r="M71" s="1">
        <v>0.66497685185185185</v>
      </c>
      <c r="N71" s="1" t="s">
        <v>676</v>
      </c>
      <c r="O71" s="1" t="s">
        <v>34</v>
      </c>
      <c r="P71" s="1" t="s">
        <v>169</v>
      </c>
      <c r="S71" s="1">
        <f t="shared" si="9"/>
        <v>2.777777777778212E-4</v>
      </c>
      <c r="T71" s="1">
        <f t="shared" si="10"/>
        <v>9.374999999999245E-4</v>
      </c>
      <c r="U71" s="1">
        <f t="shared" si="11"/>
        <v>1.1111111111111738E-3</v>
      </c>
      <c r="V71" s="1">
        <f t="shared" si="12"/>
        <v>1.8402777777778434E-3</v>
      </c>
      <c r="W71" s="1">
        <f t="shared" si="13"/>
        <v>7.0138888888888751E-3</v>
      </c>
      <c r="X71" s="1">
        <f t="shared" si="14"/>
        <v>1.1898148148148158E-2</v>
      </c>
      <c r="Y71" s="1">
        <f t="shared" si="15"/>
        <v>1.40393518518519E-2</v>
      </c>
      <c r="Z71" s="1">
        <f t="shared" si="16"/>
        <v>1.635416666666667E-2</v>
      </c>
      <c r="AA71" s="1">
        <f t="shared" si="17"/>
        <v>1.2152777777777457E-3</v>
      </c>
    </row>
    <row r="72" spans="1:27" x14ac:dyDescent="0.25">
      <c r="A72">
        <v>2</v>
      </c>
      <c r="B72" t="s">
        <v>559</v>
      </c>
      <c r="C72" t="s">
        <v>700</v>
      </c>
      <c r="D72">
        <v>2014</v>
      </c>
      <c r="E72" s="1">
        <v>0.65127314814814818</v>
      </c>
      <c r="F72" s="1">
        <v>0.65145833333333336</v>
      </c>
      <c r="G72" s="1">
        <v>0.65216435185185184</v>
      </c>
      <c r="H72" s="1">
        <v>0.65643518518518518</v>
      </c>
      <c r="I72" s="1">
        <v>0.65282407407407406</v>
      </c>
      <c r="J72" s="1">
        <v>0.66313657407407411</v>
      </c>
      <c r="K72" s="1">
        <v>0.66587962962962965</v>
      </c>
      <c r="L72" s="1">
        <v>0.69045138888888891</v>
      </c>
      <c r="M72" s="1">
        <v>0.69153935185185189</v>
      </c>
      <c r="N72" s="1" t="s">
        <v>684</v>
      </c>
      <c r="O72" s="1" t="s">
        <v>578</v>
      </c>
      <c r="P72" s="1" t="s">
        <v>55</v>
      </c>
      <c r="S72" s="1">
        <f t="shared" si="9"/>
        <v>1.8518518518517713E-4</v>
      </c>
      <c r="T72" s="1">
        <f t="shared" si="10"/>
        <v>7.0601851851848085E-4</v>
      </c>
      <c r="U72" s="1">
        <f t="shared" si="11"/>
        <v>6.5972222222221433E-4</v>
      </c>
      <c r="V72" s="1">
        <f t="shared" si="12"/>
        <v>4.2708333333333348E-3</v>
      </c>
      <c r="W72" s="1">
        <f t="shared" si="13"/>
        <v>6.7013888888889372E-3</v>
      </c>
      <c r="X72" s="1">
        <f t="shared" si="14"/>
        <v>1.3055555555555598E-2</v>
      </c>
      <c r="Y72" s="1">
        <f t="shared" si="15"/>
        <v>3.8287037037037064E-2</v>
      </c>
      <c r="Z72" s="1">
        <f t="shared" si="16"/>
        <v>4.0266203703703707E-2</v>
      </c>
      <c r="AA72" s="1">
        <f t="shared" si="17"/>
        <v>8.9120370370365798E-4</v>
      </c>
    </row>
    <row r="73" spans="1:27" x14ac:dyDescent="0.25">
      <c r="A73">
        <v>2</v>
      </c>
      <c r="B73" t="s">
        <v>586</v>
      </c>
      <c r="C73" t="s">
        <v>557</v>
      </c>
      <c r="D73">
        <v>2018</v>
      </c>
      <c r="E73" s="1">
        <v>0.6806712962962963</v>
      </c>
      <c r="F73" s="1">
        <v>0.68135416666666671</v>
      </c>
      <c r="G73" s="1">
        <v>0.68221064814814814</v>
      </c>
      <c r="H73" s="1">
        <v>0.68589120370370371</v>
      </c>
      <c r="I73" s="1">
        <v>0.68314814814814817</v>
      </c>
      <c r="J73" s="1">
        <v>0.69052083333333336</v>
      </c>
      <c r="K73" s="1">
        <v>0.69268518518518518</v>
      </c>
      <c r="L73" s="1">
        <v>0.69876157407407402</v>
      </c>
      <c r="M73" s="1">
        <v>0.69982638888888893</v>
      </c>
      <c r="N73" s="1" t="s">
        <v>399</v>
      </c>
      <c r="O73" s="1" t="s">
        <v>578</v>
      </c>
      <c r="P73" s="1" t="s">
        <v>169</v>
      </c>
      <c r="S73" s="1">
        <f t="shared" si="9"/>
        <v>6.828703703704031E-4</v>
      </c>
      <c r="T73" s="1">
        <f t="shared" si="10"/>
        <v>8.5648148148143033E-4</v>
      </c>
      <c r="U73" s="1">
        <f t="shared" si="11"/>
        <v>9.3750000000003553E-4</v>
      </c>
      <c r="V73" s="1">
        <f t="shared" si="12"/>
        <v>3.6805555555555758E-3</v>
      </c>
      <c r="W73" s="1">
        <f t="shared" si="13"/>
        <v>4.6296296296296502E-3</v>
      </c>
      <c r="X73" s="1">
        <f t="shared" si="14"/>
        <v>9.5370370370370106E-3</v>
      </c>
      <c r="Y73" s="1">
        <f t="shared" si="15"/>
        <v>1.6550925925925886E-2</v>
      </c>
      <c r="Z73" s="1">
        <f t="shared" si="16"/>
        <v>1.9155092592592626E-2</v>
      </c>
      <c r="AA73" s="1">
        <f t="shared" si="17"/>
        <v>1.5393518518518334E-3</v>
      </c>
    </row>
    <row r="74" spans="1:27" x14ac:dyDescent="0.25">
      <c r="A74">
        <v>3</v>
      </c>
      <c r="B74" t="s">
        <v>8</v>
      </c>
      <c r="C74" t="s">
        <v>24</v>
      </c>
      <c r="D74">
        <v>2014</v>
      </c>
      <c r="E74" s="1">
        <v>0.68230324074074078</v>
      </c>
      <c r="F74" s="1">
        <v>0.68307870370370372</v>
      </c>
      <c r="G74" s="1">
        <v>0.68434027777777773</v>
      </c>
      <c r="H74" s="1">
        <v>0.68807870370370372</v>
      </c>
      <c r="I74" s="1">
        <v>0.68571759259259257</v>
      </c>
      <c r="J74" s="1">
        <v>0.69251157407407404</v>
      </c>
      <c r="K74" s="1">
        <v>0.69604166666666667</v>
      </c>
      <c r="L74" s="1">
        <v>0.70030092592592597</v>
      </c>
      <c r="M74" s="1">
        <v>0.70064814814814813</v>
      </c>
      <c r="N74" s="1" t="s">
        <v>669</v>
      </c>
      <c r="O74" s="1" t="s">
        <v>34</v>
      </c>
      <c r="P74" s="1" t="s">
        <v>55</v>
      </c>
      <c r="S74" s="1">
        <f t="shared" si="9"/>
        <v>7.7546296296293615E-4</v>
      </c>
      <c r="T74" s="1">
        <f t="shared" si="10"/>
        <v>1.2615740740740122E-3</v>
      </c>
      <c r="U74" s="1">
        <f t="shared" si="11"/>
        <v>1.3773148148148451E-3</v>
      </c>
      <c r="V74" s="1">
        <f t="shared" si="12"/>
        <v>3.7384259259259922E-3</v>
      </c>
      <c r="W74" s="1">
        <f t="shared" si="13"/>
        <v>4.4328703703703232E-3</v>
      </c>
      <c r="X74" s="1">
        <f t="shared" si="14"/>
        <v>1.0324074074074097E-2</v>
      </c>
      <c r="Y74" s="1">
        <f t="shared" si="15"/>
        <v>1.5960648148148238E-2</v>
      </c>
      <c r="Z74" s="1">
        <f t="shared" si="16"/>
        <v>1.8344907407407351E-2</v>
      </c>
      <c r="AA74" s="1">
        <f t="shared" si="17"/>
        <v>2.0370370370369484E-3</v>
      </c>
    </row>
    <row r="75" spans="1:27" x14ac:dyDescent="0.25">
      <c r="A75">
        <v>4</v>
      </c>
      <c r="B75" t="s">
        <v>559</v>
      </c>
      <c r="C75" t="s">
        <v>700</v>
      </c>
      <c r="D75">
        <v>2006</v>
      </c>
      <c r="E75" s="1">
        <v>0.68730324074074078</v>
      </c>
      <c r="F75" s="1">
        <v>0.68754629629629627</v>
      </c>
      <c r="G75" s="1">
        <v>0.6882638888888889</v>
      </c>
      <c r="H75" s="1">
        <v>0.69112268518518516</v>
      </c>
      <c r="I75" s="1">
        <v>0.68967592592592597</v>
      </c>
      <c r="J75" s="1">
        <v>0.69374999999999998</v>
      </c>
      <c r="K75" s="1">
        <v>0.69918981481481479</v>
      </c>
      <c r="L75" s="1">
        <v>0.69959490740740737</v>
      </c>
      <c r="M75" s="1">
        <v>0.70125000000000004</v>
      </c>
      <c r="N75" s="1" t="s">
        <v>54</v>
      </c>
      <c r="O75" s="1" t="s">
        <v>578</v>
      </c>
      <c r="P75" s="1" t="s">
        <v>55</v>
      </c>
      <c r="S75" s="1">
        <f t="shared" si="9"/>
        <v>2.4305555555548253E-4</v>
      </c>
      <c r="T75" s="1">
        <f t="shared" si="10"/>
        <v>7.1759259259263075E-4</v>
      </c>
      <c r="U75" s="1">
        <f t="shared" si="11"/>
        <v>1.4120370370370727E-3</v>
      </c>
      <c r="V75" s="1">
        <f t="shared" si="12"/>
        <v>2.8587962962962621E-3</v>
      </c>
      <c r="W75" s="1">
        <f t="shared" si="13"/>
        <v>2.6273148148148184E-3</v>
      </c>
      <c r="X75" s="1">
        <f t="shared" si="14"/>
        <v>9.5138888888888218E-3</v>
      </c>
      <c r="Y75" s="1">
        <f t="shared" si="15"/>
        <v>1.1331018518518476E-2</v>
      </c>
      <c r="Z75" s="1">
        <f t="shared" si="16"/>
        <v>1.3946759259259256E-2</v>
      </c>
      <c r="AA75" s="1">
        <f t="shared" si="17"/>
        <v>9.6064814814811328E-4</v>
      </c>
    </row>
    <row r="76" spans="1:27" x14ac:dyDescent="0.25">
      <c r="A76">
        <v>2</v>
      </c>
      <c r="B76" t="s">
        <v>8</v>
      </c>
      <c r="C76" t="s">
        <v>401</v>
      </c>
      <c r="D76">
        <v>2018</v>
      </c>
      <c r="E76" s="1">
        <v>0.70406250000000004</v>
      </c>
      <c r="F76" s="1">
        <v>0.70445601851851847</v>
      </c>
      <c r="G76" s="1">
        <v>0.70506944444444442</v>
      </c>
      <c r="H76" s="1">
        <v>0.70702546296296298</v>
      </c>
      <c r="I76" s="1">
        <v>0.70571759259259259</v>
      </c>
      <c r="J76" s="1">
        <v>0.70871527777777776</v>
      </c>
      <c r="K76" s="1">
        <v>0.71156249999999999</v>
      </c>
      <c r="L76" s="1">
        <v>0.72222222222222221</v>
      </c>
      <c r="M76" s="1">
        <v>0.72310185185185183</v>
      </c>
      <c r="N76" s="1" t="s">
        <v>693</v>
      </c>
      <c r="O76" s="1" t="s">
        <v>34</v>
      </c>
      <c r="P76" s="1" t="s">
        <v>55</v>
      </c>
      <c r="S76" s="1">
        <f t="shared" si="9"/>
        <v>3.93518518518432E-4</v>
      </c>
      <c r="T76" s="1">
        <f t="shared" si="10"/>
        <v>6.134259259259478E-4</v>
      </c>
      <c r="U76" s="1">
        <f t="shared" si="11"/>
        <v>6.4814814814817545E-4</v>
      </c>
      <c r="V76" s="1">
        <f t="shared" si="12"/>
        <v>1.9560185185185652E-3</v>
      </c>
      <c r="W76" s="1">
        <f t="shared" si="13"/>
        <v>1.6898148148147829E-3</v>
      </c>
      <c r="X76" s="1">
        <f t="shared" si="14"/>
        <v>5.8449074074073959E-3</v>
      </c>
      <c r="Y76" s="1">
        <f t="shared" si="15"/>
        <v>1.7152777777777795E-2</v>
      </c>
      <c r="Z76" s="1">
        <f t="shared" si="16"/>
        <v>1.9039351851851793E-2</v>
      </c>
      <c r="AA76" s="1">
        <f t="shared" si="17"/>
        <v>1.0069444444443798E-3</v>
      </c>
    </row>
    <row r="77" spans="1:27" x14ac:dyDescent="0.25">
      <c r="A77">
        <v>3</v>
      </c>
      <c r="B77" t="s">
        <v>610</v>
      </c>
      <c r="C77" t="s">
        <v>611</v>
      </c>
      <c r="D77">
        <v>2009</v>
      </c>
      <c r="E77" s="1">
        <v>0.7101736111111111</v>
      </c>
      <c r="F77" s="1">
        <v>0.71037037037037032</v>
      </c>
      <c r="G77" s="1">
        <v>0.71134259259259258</v>
      </c>
      <c r="H77" s="1">
        <v>0.71481481481481479</v>
      </c>
      <c r="I77" s="1">
        <v>0.7129861111111111</v>
      </c>
      <c r="J77" s="1">
        <v>0.71652777777777776</v>
      </c>
      <c r="K77" s="1">
        <v>0.72252314814814811</v>
      </c>
      <c r="L77" s="1">
        <v>0.72417824074074078</v>
      </c>
      <c r="M77" s="1">
        <v>0.7247569444444445</v>
      </c>
      <c r="N77" s="1" t="s">
        <v>382</v>
      </c>
      <c r="O77" s="1" t="s">
        <v>578</v>
      </c>
      <c r="P77" s="1" t="s">
        <v>584</v>
      </c>
      <c r="S77" s="1">
        <f t="shared" si="9"/>
        <v>1.96759259259216E-4</v>
      </c>
      <c r="T77" s="1">
        <f t="shared" si="10"/>
        <v>9.7222222222226318E-4</v>
      </c>
      <c r="U77" s="1">
        <f t="shared" si="11"/>
        <v>1.6435185185185164E-3</v>
      </c>
      <c r="V77" s="1">
        <f t="shared" si="12"/>
        <v>3.4722222222222099E-3</v>
      </c>
      <c r="W77" s="1">
        <f t="shared" si="13"/>
        <v>1.7129629629629717E-3</v>
      </c>
      <c r="X77" s="1">
        <f t="shared" si="14"/>
        <v>9.5370370370370106E-3</v>
      </c>
      <c r="Y77" s="1">
        <f t="shared" si="15"/>
        <v>1.2835648148148193E-2</v>
      </c>
      <c r="Z77" s="1">
        <f t="shared" si="16"/>
        <v>1.4583333333333393E-2</v>
      </c>
      <c r="AA77" s="1">
        <f t="shared" si="17"/>
        <v>1.1689814814814792E-3</v>
      </c>
    </row>
    <row r="78" spans="1:27" x14ac:dyDescent="0.25">
      <c r="A78">
        <v>1</v>
      </c>
      <c r="B78" t="s">
        <v>561</v>
      </c>
      <c r="C78" t="s">
        <v>612</v>
      </c>
      <c r="D78">
        <v>2020</v>
      </c>
      <c r="E78" s="1">
        <v>0.71545138888888893</v>
      </c>
      <c r="F78" s="1">
        <v>0.71585648148148151</v>
      </c>
      <c r="G78" s="1">
        <v>0.71644675925925927</v>
      </c>
      <c r="H78" s="1">
        <v>0.71994212962962967</v>
      </c>
      <c r="I78" s="1">
        <v>0.71706018518518522</v>
      </c>
      <c r="J78" s="1">
        <v>0.72624999999999995</v>
      </c>
      <c r="K78" s="1">
        <v>0.72820601851851852</v>
      </c>
      <c r="L78" s="1">
        <v>0.72923611111111108</v>
      </c>
      <c r="M78" s="1">
        <v>0.73181712962962964</v>
      </c>
      <c r="N78" s="1" t="s">
        <v>343</v>
      </c>
      <c r="O78" s="1" t="s">
        <v>34</v>
      </c>
      <c r="P78" s="1" t="s">
        <v>55</v>
      </c>
      <c r="S78" s="1">
        <f t="shared" si="9"/>
        <v>4.050925925925819E-4</v>
      </c>
      <c r="T78" s="1">
        <f t="shared" si="10"/>
        <v>5.9027777777775903E-4</v>
      </c>
      <c r="U78" s="1">
        <f t="shared" si="11"/>
        <v>6.134259259259478E-4</v>
      </c>
      <c r="V78" s="1">
        <f t="shared" si="12"/>
        <v>3.4953703703703987E-3</v>
      </c>
      <c r="W78" s="1">
        <f t="shared" si="13"/>
        <v>6.3078703703702832E-3</v>
      </c>
      <c r="X78" s="1">
        <f t="shared" si="14"/>
        <v>1.1145833333333299E-2</v>
      </c>
      <c r="Y78" s="1">
        <f t="shared" si="15"/>
        <v>1.2789351851851816E-2</v>
      </c>
      <c r="Z78" s="1">
        <f t="shared" si="16"/>
        <v>1.6365740740740709E-2</v>
      </c>
      <c r="AA78" s="1">
        <f t="shared" si="17"/>
        <v>9.9537037037034093E-4</v>
      </c>
    </row>
    <row r="79" spans="1:27" x14ac:dyDescent="0.25">
      <c r="A79">
        <v>1</v>
      </c>
      <c r="B79" t="s">
        <v>406</v>
      </c>
      <c r="C79" t="s">
        <v>613</v>
      </c>
      <c r="D79">
        <v>2021</v>
      </c>
      <c r="E79" s="1">
        <v>0.72807870370370376</v>
      </c>
      <c r="F79" s="1">
        <v>0.72817129629629629</v>
      </c>
      <c r="G79" s="1">
        <v>0.7299768518518519</v>
      </c>
      <c r="H79" s="1">
        <v>0.73420138888888886</v>
      </c>
      <c r="I79" s="1">
        <v>0.73129629629629633</v>
      </c>
      <c r="J79" s="1">
        <v>0.73731481481481487</v>
      </c>
      <c r="K79" s="1">
        <v>0.74186342592592591</v>
      </c>
      <c r="L79" s="1">
        <v>0.74211805555555554</v>
      </c>
      <c r="M79" s="1">
        <v>0.74342592592592593</v>
      </c>
      <c r="N79" s="1" t="s">
        <v>333</v>
      </c>
      <c r="O79" s="1" t="s">
        <v>34</v>
      </c>
      <c r="P79" s="1" t="s">
        <v>55</v>
      </c>
      <c r="S79" s="1">
        <f t="shared" si="9"/>
        <v>9.2592592592533052E-5</v>
      </c>
      <c r="T79" s="1">
        <f t="shared" si="10"/>
        <v>1.8055555555556158E-3</v>
      </c>
      <c r="U79" s="1">
        <f t="shared" si="11"/>
        <v>1.3194444444444287E-3</v>
      </c>
      <c r="V79" s="1">
        <f t="shared" si="12"/>
        <v>4.2245370370369573E-3</v>
      </c>
      <c r="W79" s="1">
        <f t="shared" si="13"/>
        <v>3.1134259259260055E-3</v>
      </c>
      <c r="X79" s="1">
        <f t="shared" si="14"/>
        <v>1.0567129629629579E-2</v>
      </c>
      <c r="Y79" s="1">
        <f t="shared" si="15"/>
        <v>1.214120370370364E-2</v>
      </c>
      <c r="Z79" s="1">
        <f t="shared" si="16"/>
        <v>1.5347222222222179E-2</v>
      </c>
      <c r="AA79" s="1">
        <f t="shared" si="17"/>
        <v>1.8981481481481488E-3</v>
      </c>
    </row>
    <row r="80" spans="1:27" x14ac:dyDescent="0.25">
      <c r="A80">
        <v>1</v>
      </c>
      <c r="B80" t="s">
        <v>560</v>
      </c>
      <c r="C80" t="s">
        <v>566</v>
      </c>
      <c r="D80">
        <v>2016</v>
      </c>
      <c r="E80" s="1">
        <v>0.73776620370370372</v>
      </c>
      <c r="F80" s="1">
        <v>0.73797453703703708</v>
      </c>
      <c r="G80" s="1">
        <v>0.73936342592592597</v>
      </c>
      <c r="H80" s="1">
        <v>0.74384259259259256</v>
      </c>
      <c r="I80" s="1">
        <v>0.74111111111111116</v>
      </c>
      <c r="J80" s="1">
        <v>0.74914351851851857</v>
      </c>
      <c r="K80" s="1">
        <v>0.75951388888888893</v>
      </c>
      <c r="L80" s="1">
        <v>0.75991898148148151</v>
      </c>
      <c r="M80" s="1">
        <v>0.76145833333333335</v>
      </c>
      <c r="N80" s="1" t="s">
        <v>409</v>
      </c>
      <c r="O80" s="1" t="s">
        <v>34</v>
      </c>
      <c r="P80" s="1" t="s">
        <v>55</v>
      </c>
      <c r="S80" s="1">
        <f t="shared" si="9"/>
        <v>2.083333333333659E-4</v>
      </c>
      <c r="T80" s="1">
        <f t="shared" si="10"/>
        <v>1.388888888888884E-3</v>
      </c>
      <c r="U80" s="1">
        <f t="shared" si="11"/>
        <v>1.7476851851851993E-3</v>
      </c>
      <c r="V80" s="1">
        <f t="shared" si="12"/>
        <v>4.4791666666665897E-3</v>
      </c>
      <c r="W80" s="1">
        <f t="shared" si="13"/>
        <v>5.3009259259260144E-3</v>
      </c>
      <c r="X80" s="1">
        <f t="shared" si="14"/>
        <v>1.8402777777777768E-2</v>
      </c>
      <c r="Y80" s="1">
        <f t="shared" si="15"/>
        <v>2.0555555555555549E-2</v>
      </c>
      <c r="Z80" s="1">
        <f t="shared" si="16"/>
        <v>2.3692129629629632E-2</v>
      </c>
      <c r="AA80" s="1">
        <f t="shared" si="17"/>
        <v>1.5972222222222499E-3</v>
      </c>
    </row>
    <row r="81" spans="1:27" x14ac:dyDescent="0.25">
      <c r="A81">
        <v>1</v>
      </c>
      <c r="B81" t="s">
        <v>709</v>
      </c>
      <c r="C81" t="s">
        <v>567</v>
      </c>
      <c r="D81">
        <v>2014</v>
      </c>
      <c r="E81" s="1">
        <v>0.74065972222222221</v>
      </c>
      <c r="F81" s="1">
        <v>0.74087962962962961</v>
      </c>
      <c r="G81" s="1">
        <v>0.74349537037037039</v>
      </c>
      <c r="H81" s="1">
        <v>0.74653935185185183</v>
      </c>
      <c r="I81" s="1">
        <v>0.74414351851851857</v>
      </c>
      <c r="J81" s="1">
        <v>0.7522685185185185</v>
      </c>
      <c r="K81" s="1">
        <v>0.75760416666666663</v>
      </c>
      <c r="L81" s="1">
        <v>0.75872685185185185</v>
      </c>
      <c r="M81" s="1">
        <v>0.76037037037037036</v>
      </c>
      <c r="N81" s="1" t="s">
        <v>411</v>
      </c>
      <c r="O81" s="1" t="s">
        <v>34</v>
      </c>
      <c r="P81" s="1" t="s">
        <v>55</v>
      </c>
      <c r="S81" s="1">
        <f t="shared" si="9"/>
        <v>2.1990740740740478E-4</v>
      </c>
      <c r="T81" s="1">
        <f t="shared" si="10"/>
        <v>2.6157407407407796E-3</v>
      </c>
      <c r="U81" s="1">
        <f t="shared" si="11"/>
        <v>6.4814814814817545E-4</v>
      </c>
      <c r="V81" s="1">
        <f t="shared" si="12"/>
        <v>3.0439814814814392E-3</v>
      </c>
      <c r="W81" s="1">
        <f t="shared" si="13"/>
        <v>5.7291666666666741E-3</v>
      </c>
      <c r="X81" s="1">
        <f t="shared" si="14"/>
        <v>1.3460648148148069E-2</v>
      </c>
      <c r="Y81" s="1">
        <f t="shared" si="15"/>
        <v>1.5231481481481457E-2</v>
      </c>
      <c r="Z81" s="1">
        <f t="shared" si="16"/>
        <v>1.9710648148148158E-2</v>
      </c>
      <c r="AA81" s="1">
        <f t="shared" si="17"/>
        <v>2.8356481481481843E-3</v>
      </c>
    </row>
    <row r="82" spans="1:27" x14ac:dyDescent="0.25">
      <c r="A82">
        <v>3</v>
      </c>
      <c r="B82" t="s">
        <v>559</v>
      </c>
      <c r="C82" t="s">
        <v>614</v>
      </c>
      <c r="D82">
        <v>2021</v>
      </c>
      <c r="E82" s="1">
        <v>0.76467592592592593</v>
      </c>
      <c r="F82" s="1">
        <v>0.76484953703703706</v>
      </c>
      <c r="G82" s="1">
        <v>0.76629629629629625</v>
      </c>
      <c r="H82" s="1">
        <v>0.76916666666666667</v>
      </c>
      <c r="I82" s="1">
        <v>0.76695601851851847</v>
      </c>
      <c r="J82" s="1">
        <v>0.77140046296296294</v>
      </c>
      <c r="K82" s="1">
        <v>0.78252314814814816</v>
      </c>
      <c r="L82" s="1">
        <v>0.78265046296296292</v>
      </c>
      <c r="M82" s="1">
        <v>0.783599537037037</v>
      </c>
      <c r="N82" s="1" t="s">
        <v>413</v>
      </c>
      <c r="O82" s="1" t="s">
        <v>34</v>
      </c>
      <c r="P82" s="1" t="s">
        <v>55</v>
      </c>
      <c r="S82" s="1">
        <f t="shared" si="9"/>
        <v>1.7361111111113825E-4</v>
      </c>
      <c r="T82" s="1">
        <f t="shared" si="10"/>
        <v>1.4467592592591894E-3</v>
      </c>
      <c r="U82" s="1">
        <f t="shared" si="11"/>
        <v>6.5972222222221433E-4</v>
      </c>
      <c r="V82" s="1">
        <f t="shared" si="12"/>
        <v>2.870370370370412E-3</v>
      </c>
      <c r="W82" s="1">
        <f t="shared" si="13"/>
        <v>2.2337962962962754E-3</v>
      </c>
      <c r="X82" s="1">
        <f t="shared" si="14"/>
        <v>1.5567129629629695E-2</v>
      </c>
      <c r="Y82" s="1">
        <f t="shared" si="15"/>
        <v>1.635416666666667E-2</v>
      </c>
      <c r="Z82" s="1">
        <f t="shared" si="16"/>
        <v>1.8923611111111072E-2</v>
      </c>
      <c r="AA82" s="1">
        <f t="shared" si="17"/>
        <v>1.6203703703703276E-3</v>
      </c>
    </row>
    <row r="83" spans="1:27" x14ac:dyDescent="0.25">
      <c r="A83">
        <v>1</v>
      </c>
      <c r="B83" t="s">
        <v>586</v>
      </c>
      <c r="C83" t="s">
        <v>414</v>
      </c>
      <c r="D83">
        <v>2020</v>
      </c>
      <c r="E83" s="1">
        <v>0.3869097222222222</v>
      </c>
      <c r="F83" s="1">
        <v>0.3871412037037037</v>
      </c>
      <c r="G83" s="1">
        <v>0.38778935185185187</v>
      </c>
      <c r="H83" s="1">
        <v>0.39018518518518519</v>
      </c>
      <c r="I83" s="1">
        <v>0.38854166666666667</v>
      </c>
      <c r="J83" s="1">
        <v>0.39357638888888891</v>
      </c>
      <c r="K83" s="1">
        <v>0.41189814814814812</v>
      </c>
      <c r="L83" s="1">
        <v>0.41214120370370372</v>
      </c>
      <c r="M83" s="1">
        <v>0.43489583333333331</v>
      </c>
      <c r="N83" s="1" t="s">
        <v>415</v>
      </c>
      <c r="O83" s="1" t="s">
        <v>34</v>
      </c>
      <c r="P83" s="1" t="s">
        <v>169</v>
      </c>
      <c r="S83" s="1">
        <f t="shared" si="9"/>
        <v>2.3148148148149916E-4</v>
      </c>
      <c r="T83" s="1">
        <f t="shared" si="10"/>
        <v>6.4814814814817545E-4</v>
      </c>
      <c r="U83" s="1">
        <f t="shared" si="11"/>
        <v>7.5231481481480289E-4</v>
      </c>
      <c r="V83" s="1">
        <f t="shared" si="12"/>
        <v>2.3958333333333193E-3</v>
      </c>
      <c r="W83" s="1">
        <f t="shared" si="13"/>
        <v>3.3912037037037157E-3</v>
      </c>
      <c r="X83" s="1">
        <f t="shared" si="14"/>
        <v>2.335648148148145E-2</v>
      </c>
      <c r="Y83" s="1">
        <f t="shared" si="15"/>
        <v>2.4351851851851847E-2</v>
      </c>
      <c r="Z83" s="1">
        <f t="shared" si="16"/>
        <v>4.7986111111111118E-2</v>
      </c>
      <c r="AA83" s="1">
        <f t="shared" si="17"/>
        <v>8.7962962962967461E-4</v>
      </c>
    </row>
    <row r="84" spans="1:27" x14ac:dyDescent="0.25">
      <c r="A84">
        <v>4</v>
      </c>
      <c r="B84" t="s">
        <v>615</v>
      </c>
      <c r="C84" t="s">
        <v>417</v>
      </c>
      <c r="D84">
        <v>2014</v>
      </c>
      <c r="E84" s="1">
        <v>0.39447916666666666</v>
      </c>
      <c r="F84" s="1">
        <v>0.39461805555555557</v>
      </c>
      <c r="G84" s="1">
        <v>0.39554398148148145</v>
      </c>
      <c r="H84" s="1">
        <v>0.39859953703703704</v>
      </c>
      <c r="I84" s="1">
        <v>0.39672453703703703</v>
      </c>
      <c r="J84" s="1">
        <v>0.40119212962962963</v>
      </c>
      <c r="K84" s="1">
        <v>0.40414351851851854</v>
      </c>
      <c r="L84" s="1">
        <v>0.40781250000000002</v>
      </c>
      <c r="M84" s="1">
        <v>0.40824074074074074</v>
      </c>
      <c r="N84" s="1" t="s">
        <v>418</v>
      </c>
      <c r="O84" s="1" t="s">
        <v>34</v>
      </c>
      <c r="P84" s="1" t="s">
        <v>169</v>
      </c>
      <c r="S84" s="1">
        <f t="shared" si="9"/>
        <v>1.388888888889106E-4</v>
      </c>
      <c r="T84" s="1">
        <f t="shared" si="10"/>
        <v>9.2592592592588563E-4</v>
      </c>
      <c r="U84" s="1">
        <f t="shared" si="11"/>
        <v>1.1805555555555736E-3</v>
      </c>
      <c r="V84" s="1">
        <f t="shared" si="12"/>
        <v>3.0555555555555891E-3</v>
      </c>
      <c r="W84" s="1">
        <f t="shared" si="13"/>
        <v>2.5925925925925908E-3</v>
      </c>
      <c r="X84" s="1">
        <f t="shared" si="14"/>
        <v>7.4189814814815125E-3</v>
      </c>
      <c r="Y84" s="1">
        <f t="shared" si="15"/>
        <v>1.2268518518518567E-2</v>
      </c>
      <c r="Z84" s="1">
        <f t="shared" si="16"/>
        <v>1.3761574074074079E-2</v>
      </c>
      <c r="AA84" s="1">
        <f t="shared" si="17"/>
        <v>1.0648148148147962E-3</v>
      </c>
    </row>
    <row r="85" spans="1:27" x14ac:dyDescent="0.25">
      <c r="A85">
        <v>1</v>
      </c>
      <c r="B85" t="s">
        <v>559</v>
      </c>
      <c r="C85" t="s">
        <v>419</v>
      </c>
      <c r="D85">
        <v>2018</v>
      </c>
      <c r="E85" s="1">
        <v>0.4140625</v>
      </c>
      <c r="F85" s="1">
        <v>0.41422453703703704</v>
      </c>
      <c r="G85" s="1">
        <v>0.4148263888888889</v>
      </c>
      <c r="H85" s="1">
        <v>0.41799768518518521</v>
      </c>
      <c r="I85" s="1">
        <v>0.41646990740740741</v>
      </c>
      <c r="J85" s="1">
        <v>0.41915509259259259</v>
      </c>
      <c r="K85" s="1">
        <v>0.42520833333333335</v>
      </c>
      <c r="L85" s="1">
        <v>0.42653935185185188</v>
      </c>
      <c r="M85" s="1">
        <v>0.42761574074074077</v>
      </c>
      <c r="N85" s="1" t="s">
        <v>420</v>
      </c>
      <c r="O85" s="1" t="s">
        <v>34</v>
      </c>
      <c r="P85" s="1" t="s">
        <v>55</v>
      </c>
      <c r="S85" s="1">
        <f t="shared" si="9"/>
        <v>1.6203703703704386E-4</v>
      </c>
      <c r="T85" s="1">
        <f t="shared" si="10"/>
        <v>6.0185185185185341E-4</v>
      </c>
      <c r="U85" s="1">
        <f t="shared" si="11"/>
        <v>1.6435185185185164E-3</v>
      </c>
      <c r="V85" s="1">
        <f t="shared" si="12"/>
        <v>3.1712962962963109E-3</v>
      </c>
      <c r="W85" s="1">
        <f t="shared" si="13"/>
        <v>1.1574074074073848E-3</v>
      </c>
      <c r="X85" s="1">
        <f t="shared" si="14"/>
        <v>8.7384259259259411E-3</v>
      </c>
      <c r="Y85" s="1">
        <f t="shared" si="15"/>
        <v>1.1712962962962981E-2</v>
      </c>
      <c r="Z85" s="1">
        <f t="shared" si="16"/>
        <v>1.3553240740740768E-2</v>
      </c>
      <c r="AA85" s="1">
        <f t="shared" si="17"/>
        <v>7.6388888888889728E-4</v>
      </c>
    </row>
    <row r="86" spans="1:27" x14ac:dyDescent="0.25">
      <c r="A86">
        <v>1</v>
      </c>
      <c r="B86" t="s">
        <v>561</v>
      </c>
      <c r="C86" t="s">
        <v>593</v>
      </c>
      <c r="D86">
        <v>2023</v>
      </c>
      <c r="E86" s="1">
        <v>0.4286226851851852</v>
      </c>
      <c r="F86" s="1">
        <v>0.4289351851851852</v>
      </c>
      <c r="G86" s="1">
        <v>0.4296875</v>
      </c>
      <c r="H86" s="1">
        <v>0.43178240740740742</v>
      </c>
      <c r="I86" s="1">
        <v>0.43046296296296294</v>
      </c>
      <c r="J86" s="1">
        <v>0.4337847222222222</v>
      </c>
      <c r="K86" s="1">
        <v>0.43751157407407409</v>
      </c>
      <c r="L86" s="1">
        <v>0.43777777777777777</v>
      </c>
      <c r="M86" s="1">
        <v>0.43814814814814818</v>
      </c>
      <c r="N86" s="1" t="s">
        <v>352</v>
      </c>
      <c r="O86" s="1" t="s">
        <v>34</v>
      </c>
      <c r="P86" s="1" t="s">
        <v>55</v>
      </c>
      <c r="S86" s="1">
        <f t="shared" si="9"/>
        <v>3.1249999999999334E-4</v>
      </c>
      <c r="T86" s="1">
        <f t="shared" si="10"/>
        <v>7.5231481481480289E-4</v>
      </c>
      <c r="U86" s="1">
        <f t="shared" si="11"/>
        <v>7.7546296296293615E-4</v>
      </c>
      <c r="V86" s="1">
        <f t="shared" si="12"/>
        <v>2.0949074074074203E-3</v>
      </c>
      <c r="W86" s="1">
        <f t="shared" si="13"/>
        <v>2.0023148148147762E-3</v>
      </c>
      <c r="X86" s="1">
        <f t="shared" si="14"/>
        <v>7.0486111111111582E-3</v>
      </c>
      <c r="Y86" s="1">
        <f t="shared" si="15"/>
        <v>8.0902777777777657E-3</v>
      </c>
      <c r="Z86" s="1">
        <f t="shared" si="16"/>
        <v>9.5254629629629717E-3</v>
      </c>
      <c r="AA86" s="1">
        <f t="shared" si="17"/>
        <v>1.0648148148147962E-3</v>
      </c>
    </row>
    <row r="87" spans="1:27" x14ac:dyDescent="0.25">
      <c r="A87">
        <v>2</v>
      </c>
      <c r="B87" t="s">
        <v>406</v>
      </c>
      <c r="C87" t="s">
        <v>645</v>
      </c>
      <c r="D87">
        <v>2023</v>
      </c>
      <c r="E87" s="1">
        <v>0.43461805555555555</v>
      </c>
      <c r="F87" s="1">
        <v>0.43481481481481482</v>
      </c>
      <c r="G87" s="1">
        <v>0.43550925925925926</v>
      </c>
      <c r="H87" s="1">
        <v>0.43763888888888891</v>
      </c>
      <c r="I87" s="1">
        <v>0.43614583333333334</v>
      </c>
      <c r="J87" s="1">
        <v>0.43989583333333332</v>
      </c>
      <c r="K87" s="1">
        <v>0.44283564814814813</v>
      </c>
      <c r="L87" s="1">
        <v>0.44347222222222221</v>
      </c>
      <c r="M87" s="1">
        <v>0.44408564814814816</v>
      </c>
      <c r="N87" s="1" t="s">
        <v>343</v>
      </c>
      <c r="O87" s="1" t="s">
        <v>34</v>
      </c>
      <c r="P87" s="1" t="s">
        <v>55</v>
      </c>
      <c r="S87" s="1">
        <f t="shared" si="9"/>
        <v>1.9675925925927151E-4</v>
      </c>
      <c r="T87" s="1">
        <f t="shared" si="10"/>
        <v>6.9444444444444198E-4</v>
      </c>
      <c r="U87" s="1">
        <f t="shared" si="11"/>
        <v>6.3657407407408106E-4</v>
      </c>
      <c r="V87" s="1">
        <f t="shared" si="12"/>
        <v>2.129629629629648E-3</v>
      </c>
      <c r="W87" s="1">
        <f t="shared" si="13"/>
        <v>2.2569444444444087E-3</v>
      </c>
      <c r="X87" s="1">
        <f t="shared" si="14"/>
        <v>6.6898148148147873E-3</v>
      </c>
      <c r="Y87" s="1">
        <f t="shared" si="15"/>
        <v>7.9629629629629495E-3</v>
      </c>
      <c r="Z87" s="1">
        <f t="shared" si="16"/>
        <v>9.4675925925926108E-3</v>
      </c>
      <c r="AA87" s="1">
        <f t="shared" si="17"/>
        <v>8.9120370370371349E-4</v>
      </c>
    </row>
    <row r="88" spans="1:27" x14ac:dyDescent="0.25">
      <c r="A88">
        <v>1</v>
      </c>
      <c r="B88" t="s">
        <v>406</v>
      </c>
      <c r="C88" t="s">
        <v>645</v>
      </c>
      <c r="D88">
        <v>2024</v>
      </c>
      <c r="E88" s="1">
        <v>0.44523148148148151</v>
      </c>
      <c r="F88" s="1">
        <v>0.4455439814814815</v>
      </c>
      <c r="G88" s="1">
        <v>0.44601851851851854</v>
      </c>
      <c r="H88" s="1">
        <v>0.44873842592592594</v>
      </c>
      <c r="I88" s="1">
        <v>0.4470486111111111</v>
      </c>
      <c r="J88" s="1">
        <v>0.45148148148148148</v>
      </c>
      <c r="K88" s="1">
        <v>0.45452546296296298</v>
      </c>
      <c r="L88" s="1">
        <v>0.45472222222222225</v>
      </c>
      <c r="M88" s="1">
        <v>0.45626157407407408</v>
      </c>
      <c r="N88" s="1" t="s">
        <v>421</v>
      </c>
      <c r="O88" s="1" t="s">
        <v>34</v>
      </c>
      <c r="P88" s="1" t="s">
        <v>55</v>
      </c>
      <c r="S88" s="1">
        <f t="shared" si="9"/>
        <v>3.1249999999999334E-4</v>
      </c>
      <c r="T88" s="1">
        <f t="shared" si="10"/>
        <v>4.745370370370372E-4</v>
      </c>
      <c r="U88" s="1">
        <f t="shared" si="11"/>
        <v>1.0300925925925686E-3</v>
      </c>
      <c r="V88" s="1">
        <f t="shared" si="12"/>
        <v>2.719907407407407E-3</v>
      </c>
      <c r="W88" s="1">
        <f t="shared" si="13"/>
        <v>2.7430555555555403E-3</v>
      </c>
      <c r="X88" s="1">
        <f t="shared" si="14"/>
        <v>7.4768518518518734E-3</v>
      </c>
      <c r="Y88" s="1">
        <f t="shared" si="15"/>
        <v>8.7037037037037135E-3</v>
      </c>
      <c r="Z88" s="1">
        <f t="shared" si="16"/>
        <v>1.1030092592592577E-2</v>
      </c>
      <c r="AA88" s="1">
        <f t="shared" si="17"/>
        <v>7.8703703703703054E-4</v>
      </c>
    </row>
    <row r="89" spans="1:27" x14ac:dyDescent="0.25">
      <c r="A89">
        <v>1</v>
      </c>
      <c r="B89" t="s">
        <v>406</v>
      </c>
      <c r="C89" t="s">
        <v>647</v>
      </c>
      <c r="D89">
        <v>2022</v>
      </c>
      <c r="E89" s="1">
        <v>0.46402777777777776</v>
      </c>
      <c r="F89" s="1">
        <v>0.46418981481481481</v>
      </c>
      <c r="G89" s="1">
        <v>0.4649537037037037</v>
      </c>
      <c r="H89" s="1">
        <v>0.46811342592592592</v>
      </c>
      <c r="I89" s="1">
        <v>0.4657175925925926</v>
      </c>
      <c r="J89" s="1">
        <v>0.46993055555555557</v>
      </c>
      <c r="K89" s="1">
        <v>0.47221064814814817</v>
      </c>
      <c r="L89" s="1">
        <v>0.47300925925925924</v>
      </c>
      <c r="M89" s="1">
        <v>0.47450231481481481</v>
      </c>
      <c r="N89" s="1" t="s">
        <v>345</v>
      </c>
      <c r="O89" s="1" t="s">
        <v>34</v>
      </c>
      <c r="P89" s="1" t="s">
        <v>55</v>
      </c>
      <c r="S89" s="1">
        <f t="shared" si="9"/>
        <v>1.6203703703704386E-4</v>
      </c>
      <c r="T89" s="1">
        <f t="shared" si="10"/>
        <v>7.6388888888889728E-4</v>
      </c>
      <c r="U89" s="1">
        <f t="shared" si="11"/>
        <v>7.6388888888889728E-4</v>
      </c>
      <c r="V89" s="1">
        <f t="shared" si="12"/>
        <v>3.1597222222222165E-3</v>
      </c>
      <c r="W89" s="1">
        <f t="shared" si="13"/>
        <v>1.8171296296296546E-3</v>
      </c>
      <c r="X89" s="1">
        <f t="shared" si="14"/>
        <v>6.4930555555555713E-3</v>
      </c>
      <c r="Y89" s="1">
        <f t="shared" si="15"/>
        <v>8.055555555555538E-3</v>
      </c>
      <c r="Z89" s="1">
        <f t="shared" si="16"/>
        <v>1.0474537037037046E-2</v>
      </c>
      <c r="AA89" s="1">
        <f t="shared" si="17"/>
        <v>9.2592592592594114E-4</v>
      </c>
    </row>
    <row r="90" spans="1:27" x14ac:dyDescent="0.25">
      <c r="A90">
        <v>2</v>
      </c>
      <c r="B90" t="s">
        <v>372</v>
      </c>
      <c r="C90" t="s">
        <v>373</v>
      </c>
      <c r="D90">
        <v>2015</v>
      </c>
      <c r="E90" s="1">
        <v>0.49847222222222221</v>
      </c>
      <c r="F90" s="1">
        <v>0.49866898148148148</v>
      </c>
      <c r="G90" s="1">
        <v>0.4992361111111111</v>
      </c>
      <c r="H90" s="1">
        <v>0.50112268518518521</v>
      </c>
      <c r="I90" s="1">
        <v>0.49986111111111109</v>
      </c>
      <c r="J90" s="1">
        <v>0.50311342592592589</v>
      </c>
      <c r="K90" s="1">
        <v>0.52159722222222227</v>
      </c>
      <c r="L90" s="1">
        <v>0.52231481481481479</v>
      </c>
      <c r="M90" s="1">
        <v>0.52298611111111115</v>
      </c>
      <c r="N90" s="1" t="s">
        <v>423</v>
      </c>
      <c r="O90" s="1" t="s">
        <v>555</v>
      </c>
      <c r="P90" s="1" t="s">
        <v>55</v>
      </c>
      <c r="S90" s="1">
        <f t="shared" si="9"/>
        <v>1.9675925925927151E-4</v>
      </c>
      <c r="T90" s="1">
        <f t="shared" si="10"/>
        <v>5.6712962962962576E-4</v>
      </c>
      <c r="U90" s="1">
        <f t="shared" si="11"/>
        <v>6.2499999999998668E-4</v>
      </c>
      <c r="V90" s="1">
        <f t="shared" si="12"/>
        <v>1.8865740740741099E-3</v>
      </c>
      <c r="W90" s="1">
        <f t="shared" si="13"/>
        <v>1.9907407407406819E-3</v>
      </c>
      <c r="X90" s="1">
        <f t="shared" si="14"/>
        <v>2.1736111111111178E-2</v>
      </c>
      <c r="Y90" s="1">
        <f t="shared" si="15"/>
        <v>2.3078703703703685E-2</v>
      </c>
      <c r="Z90" s="1">
        <f t="shared" si="16"/>
        <v>2.4513888888888946E-2</v>
      </c>
      <c r="AA90" s="1">
        <f t="shared" si="17"/>
        <v>7.6388888888889728E-4</v>
      </c>
    </row>
    <row r="91" spans="1:27" x14ac:dyDescent="0.25">
      <c r="A91">
        <v>4</v>
      </c>
      <c r="B91" t="s">
        <v>580</v>
      </c>
      <c r="C91" t="s">
        <v>654</v>
      </c>
      <c r="D91">
        <v>2017</v>
      </c>
      <c r="E91" s="1">
        <v>0.53568287037037032</v>
      </c>
      <c r="F91" s="1">
        <v>0.53576388888888893</v>
      </c>
      <c r="G91" s="1">
        <v>0.53651620370370368</v>
      </c>
      <c r="H91" s="1">
        <v>0.53872685185185187</v>
      </c>
      <c r="I91" s="1">
        <v>0.53770833333333334</v>
      </c>
      <c r="J91" s="1">
        <v>0.54129629629629628</v>
      </c>
      <c r="K91" s="1">
        <v>0.55969907407407404</v>
      </c>
      <c r="L91" s="1">
        <v>0.56065972222222227</v>
      </c>
      <c r="M91" s="1">
        <v>0.56129629629629629</v>
      </c>
      <c r="N91" s="1" t="s">
        <v>425</v>
      </c>
      <c r="O91" s="1" t="s">
        <v>555</v>
      </c>
      <c r="P91" s="1" t="s">
        <v>169</v>
      </c>
      <c r="S91" s="1">
        <f t="shared" si="9"/>
        <v>8.1018518518605198E-5</v>
      </c>
      <c r="T91" s="1">
        <f t="shared" si="10"/>
        <v>7.5231481481474738E-4</v>
      </c>
      <c r="U91" s="1">
        <f t="shared" si="11"/>
        <v>1.192129629629668E-3</v>
      </c>
      <c r="V91" s="1">
        <f t="shared" si="12"/>
        <v>2.2106481481481977E-3</v>
      </c>
      <c r="W91" s="1">
        <f t="shared" si="13"/>
        <v>2.569444444444402E-3</v>
      </c>
      <c r="X91" s="1">
        <f t="shared" si="14"/>
        <v>2.19907407407407E-2</v>
      </c>
      <c r="Y91" s="1">
        <f t="shared" si="15"/>
        <v>2.4143518518518592E-2</v>
      </c>
      <c r="Z91" s="1">
        <f t="shared" si="16"/>
        <v>2.561342592592597E-2</v>
      </c>
      <c r="AA91" s="1">
        <f t="shared" si="17"/>
        <v>8.3333333333335258E-4</v>
      </c>
    </row>
    <row r="92" spans="1:27" x14ac:dyDescent="0.25">
      <c r="A92">
        <v>1</v>
      </c>
      <c r="B92" t="s">
        <v>380</v>
      </c>
      <c r="C92" t="s">
        <v>426</v>
      </c>
      <c r="D92">
        <v>2018</v>
      </c>
      <c r="E92" s="1">
        <v>0.5367939814814815</v>
      </c>
      <c r="F92" s="1">
        <v>0.53693287037037041</v>
      </c>
      <c r="G92" s="1">
        <v>0.53765046296296293</v>
      </c>
      <c r="H92" s="1">
        <v>0.54181712962962958</v>
      </c>
      <c r="I92" s="1">
        <v>0.53870370370370368</v>
      </c>
      <c r="J92" s="1">
        <v>0.54369212962962965</v>
      </c>
      <c r="K92" s="1">
        <v>0.55354166666666671</v>
      </c>
      <c r="L92" s="1">
        <v>0.55379629629629634</v>
      </c>
      <c r="M92" s="1">
        <v>0.55457175925925928</v>
      </c>
      <c r="N92" s="1" t="s">
        <v>343</v>
      </c>
      <c r="O92" s="1" t="s">
        <v>34</v>
      </c>
      <c r="P92" s="1" t="s">
        <v>55</v>
      </c>
      <c r="S92" s="1">
        <f t="shared" si="9"/>
        <v>1.388888888889106E-4</v>
      </c>
      <c r="T92" s="1">
        <f t="shared" si="10"/>
        <v>7.1759259259251973E-4</v>
      </c>
      <c r="U92" s="1">
        <f t="shared" si="11"/>
        <v>1.0532407407407574E-3</v>
      </c>
      <c r="V92" s="1">
        <f t="shared" si="12"/>
        <v>4.1666666666666519E-3</v>
      </c>
      <c r="W92" s="1">
        <f t="shared" si="13"/>
        <v>1.8750000000000711E-3</v>
      </c>
      <c r="X92" s="1">
        <f t="shared" si="14"/>
        <v>1.4837962962963025E-2</v>
      </c>
      <c r="Y92" s="1">
        <f t="shared" si="15"/>
        <v>1.6145833333333415E-2</v>
      </c>
      <c r="Z92" s="1">
        <f t="shared" si="16"/>
        <v>1.7777777777777781E-2</v>
      </c>
      <c r="AA92" s="1">
        <f t="shared" si="17"/>
        <v>8.5648148148143033E-4</v>
      </c>
    </row>
    <row r="93" spans="1:27" x14ac:dyDescent="0.25">
      <c r="A93">
        <v>2</v>
      </c>
      <c r="B93" t="s">
        <v>559</v>
      </c>
      <c r="C93" t="s">
        <v>683</v>
      </c>
      <c r="D93">
        <v>2016</v>
      </c>
      <c r="E93" s="1">
        <v>0.55157407407407411</v>
      </c>
      <c r="F93" s="1">
        <v>0.55173611111111109</v>
      </c>
      <c r="G93" s="1">
        <v>0.55287037037037035</v>
      </c>
      <c r="H93" s="1">
        <v>0.55630787037037033</v>
      </c>
      <c r="I93" s="1">
        <v>0.55376157407407411</v>
      </c>
      <c r="J93" s="1">
        <v>0.5574189814814815</v>
      </c>
      <c r="K93" s="1">
        <v>0.56114583333333334</v>
      </c>
      <c r="L93" s="1">
        <v>0.56201388888888892</v>
      </c>
      <c r="M93" s="1">
        <v>0.57059027777777782</v>
      </c>
      <c r="N93" s="1" t="s">
        <v>427</v>
      </c>
      <c r="O93" s="1" t="s">
        <v>555</v>
      </c>
      <c r="P93" s="1" t="s">
        <v>55</v>
      </c>
      <c r="S93" s="1">
        <f t="shared" si="9"/>
        <v>1.6203703703698835E-4</v>
      </c>
      <c r="T93" s="1">
        <f t="shared" si="10"/>
        <v>1.1342592592592515E-3</v>
      </c>
      <c r="U93" s="1">
        <f t="shared" si="11"/>
        <v>8.91203703703769E-4</v>
      </c>
      <c r="V93" s="1">
        <f t="shared" si="12"/>
        <v>3.4374999999999822E-3</v>
      </c>
      <c r="W93" s="1">
        <f t="shared" si="13"/>
        <v>1.1111111111111738E-3</v>
      </c>
      <c r="X93" s="1">
        <f t="shared" si="14"/>
        <v>7.3842592592592293E-3</v>
      </c>
      <c r="Y93" s="1">
        <f t="shared" si="15"/>
        <v>9.1435185185185786E-3</v>
      </c>
      <c r="Z93" s="1">
        <f t="shared" si="16"/>
        <v>1.9016203703703716E-2</v>
      </c>
      <c r="AA93" s="1">
        <f t="shared" si="17"/>
        <v>1.2962962962962399E-3</v>
      </c>
    </row>
    <row r="94" spans="1:27" x14ac:dyDescent="0.25">
      <c r="A94">
        <v>1</v>
      </c>
      <c r="B94" t="s">
        <v>615</v>
      </c>
      <c r="C94" t="s">
        <v>648</v>
      </c>
      <c r="D94">
        <v>2025</v>
      </c>
      <c r="E94" s="1">
        <v>0.56314814814814818</v>
      </c>
      <c r="F94" s="1">
        <v>0.56329861111111112</v>
      </c>
      <c r="G94" s="1">
        <v>0.56409722222222225</v>
      </c>
      <c r="H94" s="1">
        <v>0.56687500000000002</v>
      </c>
      <c r="I94" s="1">
        <v>0.5649305555555556</v>
      </c>
      <c r="J94" s="1">
        <v>0.56793981481481481</v>
      </c>
      <c r="K94" s="1">
        <v>0.57568287037037036</v>
      </c>
      <c r="L94" s="1">
        <v>0.57581018518518523</v>
      </c>
      <c r="M94" s="1">
        <v>0.57671296296296293</v>
      </c>
      <c r="N94" s="1" t="s">
        <v>429</v>
      </c>
      <c r="O94" s="1" t="s">
        <v>34</v>
      </c>
      <c r="P94" s="1" t="s">
        <v>169</v>
      </c>
      <c r="S94" s="1">
        <f t="shared" si="9"/>
        <v>1.5046296296294948E-4</v>
      </c>
      <c r="T94" s="1">
        <f t="shared" si="10"/>
        <v>7.9861111111112493E-4</v>
      </c>
      <c r="U94" s="1">
        <f t="shared" si="11"/>
        <v>8.3333333333335258E-4</v>
      </c>
      <c r="V94" s="1">
        <f t="shared" si="12"/>
        <v>2.7777777777777679E-3</v>
      </c>
      <c r="W94" s="1">
        <f t="shared" si="13"/>
        <v>1.0648148148147962E-3</v>
      </c>
      <c r="X94" s="1">
        <f t="shared" si="14"/>
        <v>1.0752314814814756E-2</v>
      </c>
      <c r="Y94" s="1">
        <f t="shared" si="15"/>
        <v>1.1712962962962981E-2</v>
      </c>
      <c r="Z94" s="1">
        <f t="shared" si="16"/>
        <v>1.3564814814814752E-2</v>
      </c>
      <c r="AA94" s="1">
        <f t="shared" si="17"/>
        <v>9.490740740740744E-4</v>
      </c>
    </row>
    <row r="95" spans="1:27" x14ac:dyDescent="0.25">
      <c r="A95">
        <v>1</v>
      </c>
      <c r="B95" t="s">
        <v>586</v>
      </c>
      <c r="C95" t="s">
        <v>430</v>
      </c>
      <c r="D95">
        <v>2017</v>
      </c>
      <c r="E95" s="1">
        <v>0.57821759259259264</v>
      </c>
      <c r="F95" s="1">
        <v>0.57831018518518518</v>
      </c>
      <c r="G95" s="1">
        <v>0.57917824074074076</v>
      </c>
      <c r="H95" s="1">
        <v>0.58113425925925921</v>
      </c>
      <c r="I95" s="1">
        <v>0.5799305555555555</v>
      </c>
      <c r="J95" s="1">
        <v>0.58283564814814814</v>
      </c>
      <c r="K95" s="1">
        <v>0.58581018518518524</v>
      </c>
      <c r="L95" s="1">
        <v>0.58643518518518523</v>
      </c>
      <c r="M95" s="1">
        <v>0.58699074074074076</v>
      </c>
      <c r="N95" s="1" t="s">
        <v>431</v>
      </c>
      <c r="O95" s="1" t="s">
        <v>34</v>
      </c>
      <c r="P95" s="1" t="s">
        <v>169</v>
      </c>
      <c r="S95" s="1">
        <f t="shared" si="9"/>
        <v>9.2592592592533052E-5</v>
      </c>
      <c r="T95" s="1">
        <f t="shared" si="10"/>
        <v>8.6805555555558023E-4</v>
      </c>
      <c r="U95" s="1">
        <f t="shared" si="11"/>
        <v>7.5231481481474738E-4</v>
      </c>
      <c r="V95" s="1">
        <f t="shared" si="12"/>
        <v>1.9560185185184542E-3</v>
      </c>
      <c r="W95" s="1">
        <f t="shared" si="13"/>
        <v>1.7013888888889328E-3</v>
      </c>
      <c r="X95" s="1">
        <f t="shared" si="14"/>
        <v>5.8796296296297346E-3</v>
      </c>
      <c r="Y95" s="1">
        <f t="shared" si="15"/>
        <v>7.2569444444444686E-3</v>
      </c>
      <c r="Z95" s="1">
        <f t="shared" si="16"/>
        <v>8.7731481481481133E-3</v>
      </c>
      <c r="AA95" s="1">
        <f t="shared" si="17"/>
        <v>9.6064814814811328E-4</v>
      </c>
    </row>
    <row r="96" spans="1:27" x14ac:dyDescent="0.25">
      <c r="A96">
        <v>1</v>
      </c>
      <c r="B96" t="s">
        <v>559</v>
      </c>
      <c r="C96" t="s">
        <v>701</v>
      </c>
      <c r="D96">
        <v>2017</v>
      </c>
      <c r="E96" s="1">
        <v>0.59949074074074071</v>
      </c>
      <c r="F96" s="1">
        <v>0.59965277777777781</v>
      </c>
      <c r="G96" s="1">
        <v>0.60040509259259256</v>
      </c>
      <c r="H96" s="1">
        <v>0.60206018518518523</v>
      </c>
      <c r="I96" s="1">
        <v>0.60106481481481477</v>
      </c>
      <c r="J96" s="1">
        <v>0.60613425925925923</v>
      </c>
      <c r="K96" s="1">
        <v>0.61171296296296296</v>
      </c>
      <c r="L96" s="1">
        <v>0.61221064814814818</v>
      </c>
      <c r="M96" s="1">
        <v>0.61325231481481479</v>
      </c>
      <c r="N96" s="1" t="s">
        <v>433</v>
      </c>
      <c r="O96" s="1" t="s">
        <v>578</v>
      </c>
      <c r="P96" s="1" t="s">
        <v>55</v>
      </c>
      <c r="S96" s="1">
        <f t="shared" si="9"/>
        <v>1.6203703703709937E-4</v>
      </c>
      <c r="T96" s="1">
        <f t="shared" si="10"/>
        <v>7.5231481481474738E-4</v>
      </c>
      <c r="U96" s="1">
        <f t="shared" si="11"/>
        <v>6.5972222222221433E-4</v>
      </c>
      <c r="V96" s="1">
        <f t="shared" si="12"/>
        <v>1.6550925925926663E-3</v>
      </c>
      <c r="W96" s="1">
        <f t="shared" si="13"/>
        <v>4.0740740740740078E-3</v>
      </c>
      <c r="X96" s="1">
        <f t="shared" si="14"/>
        <v>1.0648148148148184E-2</v>
      </c>
      <c r="Y96" s="1">
        <f t="shared" si="15"/>
        <v>1.1805555555555625E-2</v>
      </c>
      <c r="Z96" s="1">
        <f t="shared" si="16"/>
        <v>1.3761574074074079E-2</v>
      </c>
      <c r="AA96" s="1">
        <f t="shared" si="17"/>
        <v>9.1435185185184675E-4</v>
      </c>
    </row>
    <row r="97" spans="1:27" x14ac:dyDescent="0.25">
      <c r="A97">
        <v>2</v>
      </c>
      <c r="B97" t="s">
        <v>608</v>
      </c>
      <c r="C97" t="s">
        <v>568</v>
      </c>
      <c r="D97">
        <v>2024</v>
      </c>
      <c r="E97" s="1">
        <v>0.60243055555555558</v>
      </c>
      <c r="F97" s="1">
        <v>0.60248842592592589</v>
      </c>
      <c r="G97" s="1">
        <v>0.60275462962962967</v>
      </c>
      <c r="H97" s="1">
        <v>0.60468750000000004</v>
      </c>
      <c r="I97" s="1">
        <v>0.60393518518518519</v>
      </c>
      <c r="J97" s="1">
        <v>0.60468750000000004</v>
      </c>
      <c r="K97" s="1">
        <v>0.61046296296296299</v>
      </c>
      <c r="L97" s="1">
        <v>0.6107407407407407</v>
      </c>
      <c r="M97" s="1">
        <v>0.65378472222222217</v>
      </c>
      <c r="N97" s="1" t="s">
        <v>291</v>
      </c>
      <c r="O97" s="1" t="s">
        <v>34</v>
      </c>
      <c r="P97" s="1" t="s">
        <v>169</v>
      </c>
      <c r="S97" s="1">
        <f t="shared" si="9"/>
        <v>5.7870370370305402E-5</v>
      </c>
      <c r="T97" s="1">
        <f t="shared" si="10"/>
        <v>2.6620370370378232E-4</v>
      </c>
      <c r="U97" s="1">
        <f t="shared" si="11"/>
        <v>1.1805555555555181E-3</v>
      </c>
      <c r="V97" s="1">
        <f t="shared" si="12"/>
        <v>1.9328703703703765E-3</v>
      </c>
      <c r="W97" s="1">
        <f t="shared" si="13"/>
        <v>0</v>
      </c>
      <c r="X97" s="1">
        <f t="shared" si="14"/>
        <v>6.527777777777799E-3</v>
      </c>
      <c r="Y97" s="1">
        <f t="shared" si="15"/>
        <v>7.9861111111110272E-3</v>
      </c>
      <c r="Z97" s="1">
        <f t="shared" si="16"/>
        <v>5.135416666666659E-2</v>
      </c>
      <c r="AA97" s="1">
        <f t="shared" si="17"/>
        <v>3.2407407407408773E-4</v>
      </c>
    </row>
    <row r="98" spans="1:27" x14ac:dyDescent="0.25">
      <c r="A98">
        <v>1</v>
      </c>
      <c r="B98" t="s">
        <v>559</v>
      </c>
      <c r="C98" t="s">
        <v>569</v>
      </c>
      <c r="D98">
        <v>2014</v>
      </c>
      <c r="E98" s="1">
        <v>0.62343749999999998</v>
      </c>
      <c r="F98" s="1">
        <v>0.62372685185185184</v>
      </c>
      <c r="G98" s="1">
        <v>0.62435185185185182</v>
      </c>
      <c r="H98" s="1">
        <v>0.62656250000000002</v>
      </c>
      <c r="I98" s="1">
        <v>0.62525462962962963</v>
      </c>
      <c r="J98" s="1">
        <v>0.62964120370370369</v>
      </c>
      <c r="K98" s="1">
        <v>0.63143518518518515</v>
      </c>
      <c r="L98" s="1">
        <v>0.63233796296296296</v>
      </c>
      <c r="M98" s="1">
        <v>0.63354166666666667</v>
      </c>
      <c r="N98" s="1" t="s">
        <v>343</v>
      </c>
      <c r="O98" s="1" t="s">
        <v>578</v>
      </c>
      <c r="P98" s="1" t="s">
        <v>55</v>
      </c>
      <c r="S98" s="1">
        <f t="shared" si="9"/>
        <v>2.8935185185186008E-4</v>
      </c>
      <c r="T98" s="1">
        <f t="shared" si="10"/>
        <v>6.2499999999998668E-4</v>
      </c>
      <c r="U98" s="1">
        <f t="shared" si="11"/>
        <v>9.0277777777780788E-4</v>
      </c>
      <c r="V98" s="1">
        <f t="shared" si="12"/>
        <v>2.2106481481481977E-3</v>
      </c>
      <c r="W98" s="1">
        <f t="shared" si="13"/>
        <v>3.0787037037036669E-3</v>
      </c>
      <c r="X98" s="1">
        <f t="shared" si="14"/>
        <v>6.1805555555555225E-3</v>
      </c>
      <c r="Y98" s="1">
        <f t="shared" si="15"/>
        <v>7.9861111111111382E-3</v>
      </c>
      <c r="Z98" s="1">
        <f t="shared" si="16"/>
        <v>1.0104166666666692E-2</v>
      </c>
      <c r="AA98" s="1">
        <f t="shared" si="17"/>
        <v>9.1435185185184675E-4</v>
      </c>
    </row>
    <row r="99" spans="1:27" x14ac:dyDescent="0.25">
      <c r="A99">
        <v>1</v>
      </c>
      <c r="B99" t="s">
        <v>615</v>
      </c>
      <c r="C99" t="s">
        <v>655</v>
      </c>
      <c r="D99">
        <v>2015</v>
      </c>
      <c r="E99" s="1">
        <v>0.63103009259259257</v>
      </c>
      <c r="F99" s="1">
        <v>0.63131944444444443</v>
      </c>
      <c r="G99" s="1">
        <v>0.6325115740740741</v>
      </c>
      <c r="H99" s="1">
        <v>0.63608796296296299</v>
      </c>
      <c r="I99" s="1">
        <v>0.63310185185185186</v>
      </c>
      <c r="J99" s="1">
        <v>0.63849537037037041</v>
      </c>
      <c r="K99" s="1">
        <v>0.64145833333333335</v>
      </c>
      <c r="L99" s="1">
        <v>0.64202546296296292</v>
      </c>
      <c r="M99" s="1">
        <v>0.64388888888888884</v>
      </c>
      <c r="N99" s="1" t="s">
        <v>421</v>
      </c>
      <c r="O99" s="1" t="s">
        <v>34</v>
      </c>
      <c r="P99" s="1" t="s">
        <v>169</v>
      </c>
      <c r="S99" s="1">
        <f t="shared" si="9"/>
        <v>2.8935185185186008E-4</v>
      </c>
      <c r="T99" s="1">
        <f t="shared" si="10"/>
        <v>1.192129629629668E-3</v>
      </c>
      <c r="U99" s="1">
        <f t="shared" si="11"/>
        <v>5.9027777777775903E-4</v>
      </c>
      <c r="V99" s="1">
        <f t="shared" si="12"/>
        <v>3.5763888888888928E-3</v>
      </c>
      <c r="W99" s="1">
        <f t="shared" si="13"/>
        <v>2.4074074074074137E-3</v>
      </c>
      <c r="X99" s="1">
        <f t="shared" si="14"/>
        <v>8.3564814814814925E-3</v>
      </c>
      <c r="Y99" s="1">
        <f t="shared" si="15"/>
        <v>9.5138888888888218E-3</v>
      </c>
      <c r="Z99" s="1">
        <f t="shared" si="16"/>
        <v>1.2858796296296271E-2</v>
      </c>
      <c r="AA99" s="1">
        <f t="shared" si="17"/>
        <v>1.481481481481528E-3</v>
      </c>
    </row>
    <row r="100" spans="1:27" x14ac:dyDescent="0.25">
      <c r="A100">
        <v>2</v>
      </c>
      <c r="B100" t="s">
        <v>561</v>
      </c>
      <c r="C100" t="s">
        <v>616</v>
      </c>
      <c r="D100">
        <v>2023</v>
      </c>
      <c r="E100" s="1">
        <v>0.63275462962962958</v>
      </c>
      <c r="F100" s="1">
        <v>0.633275462962963</v>
      </c>
      <c r="G100" s="1">
        <v>0.63451388888888893</v>
      </c>
      <c r="H100" s="1">
        <v>0.63710648148148152</v>
      </c>
      <c r="I100" s="1">
        <v>0.635162037037037</v>
      </c>
      <c r="J100" s="1">
        <v>0.63710648148148152</v>
      </c>
      <c r="K100" s="1">
        <v>0.64571759259259254</v>
      </c>
      <c r="L100" s="1">
        <v>0.64628472222222222</v>
      </c>
      <c r="M100" s="1">
        <v>0.65708333333333335</v>
      </c>
      <c r="N100" s="1" t="s">
        <v>438</v>
      </c>
      <c r="O100" s="1" t="s">
        <v>555</v>
      </c>
      <c r="P100" s="1" t="s">
        <v>55</v>
      </c>
      <c r="S100" s="1">
        <f t="shared" si="9"/>
        <v>5.2083333333341475E-4</v>
      </c>
      <c r="T100" s="1">
        <f t="shared" si="10"/>
        <v>1.2384259259259345E-3</v>
      </c>
      <c r="U100" s="1">
        <f t="shared" si="11"/>
        <v>6.4814814814806443E-4</v>
      </c>
      <c r="V100" s="1">
        <f t="shared" si="12"/>
        <v>2.5925925925925908E-3</v>
      </c>
      <c r="W100" s="1">
        <f t="shared" si="13"/>
        <v>0</v>
      </c>
      <c r="X100" s="1">
        <f t="shared" si="14"/>
        <v>1.055555555555554E-2</v>
      </c>
      <c r="Y100" s="1">
        <f t="shared" si="15"/>
        <v>1.1770833333333286E-2</v>
      </c>
      <c r="Z100" s="1">
        <f t="shared" si="16"/>
        <v>2.4328703703703769E-2</v>
      </c>
      <c r="AA100" s="1">
        <f t="shared" si="17"/>
        <v>1.7592592592593492E-3</v>
      </c>
    </row>
    <row r="101" spans="1:27" x14ac:dyDescent="0.25">
      <c r="A101">
        <v>1</v>
      </c>
      <c r="B101" t="s">
        <v>687</v>
      </c>
      <c r="C101" t="s">
        <v>373</v>
      </c>
      <c r="D101">
        <v>2015</v>
      </c>
      <c r="E101" s="1">
        <v>0.64446759259259256</v>
      </c>
      <c r="F101" s="1">
        <v>0.64462962962962966</v>
      </c>
      <c r="G101" s="1">
        <v>0.64659722222222227</v>
      </c>
      <c r="H101" s="1">
        <v>0.65341435185185182</v>
      </c>
      <c r="I101" s="1">
        <v>0.64726851851851852</v>
      </c>
      <c r="J101" s="1">
        <v>0.65643518518518518</v>
      </c>
      <c r="K101" s="1">
        <v>0.66060185185185183</v>
      </c>
      <c r="L101" s="1">
        <v>0.67020833333333329</v>
      </c>
      <c r="M101" s="1">
        <v>0.67962962962962958</v>
      </c>
      <c r="N101" s="1" t="s">
        <v>439</v>
      </c>
      <c r="O101" s="1" t="s">
        <v>555</v>
      </c>
      <c r="P101" s="1" t="s">
        <v>55</v>
      </c>
      <c r="S101" s="1">
        <f t="shared" si="9"/>
        <v>1.6203703703709937E-4</v>
      </c>
      <c r="T101" s="1">
        <f t="shared" si="10"/>
        <v>1.9675925925926041E-3</v>
      </c>
      <c r="U101" s="1">
        <f t="shared" si="11"/>
        <v>6.712962962962532E-4</v>
      </c>
      <c r="V101" s="1">
        <f t="shared" si="12"/>
        <v>6.817129629629548E-3</v>
      </c>
      <c r="W101" s="1">
        <f t="shared" si="13"/>
        <v>3.0208333333333615E-3</v>
      </c>
      <c r="X101" s="1">
        <f t="shared" si="14"/>
        <v>1.3333333333333308E-2</v>
      </c>
      <c r="Y101" s="1">
        <f t="shared" si="15"/>
        <v>2.3611111111111027E-2</v>
      </c>
      <c r="Z101" s="1">
        <f t="shared" si="16"/>
        <v>3.5162037037037019E-2</v>
      </c>
      <c r="AA101" s="1">
        <f t="shared" si="17"/>
        <v>2.1296296296297035E-3</v>
      </c>
    </row>
    <row r="102" spans="1:27" x14ac:dyDescent="0.25">
      <c r="A102">
        <v>2</v>
      </c>
      <c r="B102" t="s">
        <v>617</v>
      </c>
      <c r="C102" t="s">
        <v>441</v>
      </c>
      <c r="D102">
        <v>2016</v>
      </c>
      <c r="E102" s="1">
        <v>0.64802083333333338</v>
      </c>
      <c r="F102" s="1">
        <v>0.64815972222222218</v>
      </c>
      <c r="G102" s="1">
        <v>0.64937500000000004</v>
      </c>
      <c r="H102" s="1">
        <v>0.65364583333333337</v>
      </c>
      <c r="I102" s="1">
        <v>0.65016203703703701</v>
      </c>
      <c r="J102" s="1">
        <v>0.65837962962962959</v>
      </c>
      <c r="K102" s="1">
        <v>0.66168981481481481</v>
      </c>
      <c r="L102" s="1">
        <v>0.66226851851851853</v>
      </c>
      <c r="M102" s="1">
        <v>0.66886574074074079</v>
      </c>
      <c r="N102" s="1" t="s">
        <v>442</v>
      </c>
      <c r="O102" s="1" t="s">
        <v>34</v>
      </c>
      <c r="P102" s="1" t="s">
        <v>584</v>
      </c>
      <c r="S102" s="1">
        <f t="shared" si="9"/>
        <v>1.3888888888879958E-4</v>
      </c>
      <c r="T102" s="1">
        <f t="shared" si="10"/>
        <v>1.2152777777778567E-3</v>
      </c>
      <c r="U102" s="1">
        <f t="shared" si="11"/>
        <v>7.8703703703697503E-4</v>
      </c>
      <c r="V102" s="1">
        <f t="shared" si="12"/>
        <v>4.2708333333333348E-3</v>
      </c>
      <c r="W102" s="1">
        <f t="shared" si="13"/>
        <v>4.7337962962962221E-3</v>
      </c>
      <c r="X102" s="1">
        <f t="shared" si="14"/>
        <v>1.1527777777777803E-2</v>
      </c>
      <c r="Y102" s="1">
        <f t="shared" si="15"/>
        <v>1.2893518518518499E-2</v>
      </c>
      <c r="Z102" s="1">
        <f t="shared" si="16"/>
        <v>2.0844907407407409E-2</v>
      </c>
      <c r="AA102" s="1">
        <f t="shared" si="17"/>
        <v>1.3541666666666563E-3</v>
      </c>
    </row>
    <row r="103" spans="1:27" x14ac:dyDescent="0.25">
      <c r="A103">
        <v>3</v>
      </c>
      <c r="B103" t="s">
        <v>8</v>
      </c>
      <c r="C103" t="s">
        <v>570</v>
      </c>
      <c r="D103">
        <v>2015</v>
      </c>
      <c r="E103" s="1">
        <v>0.65965277777777775</v>
      </c>
      <c r="F103" s="1">
        <v>0.65990740740740739</v>
      </c>
      <c r="G103" s="1">
        <v>0.66052083333333333</v>
      </c>
      <c r="H103" s="1">
        <v>0.66574074074074074</v>
      </c>
      <c r="I103" s="1">
        <v>0.66122685185185182</v>
      </c>
      <c r="J103" s="1">
        <v>0.66702546296296295</v>
      </c>
      <c r="K103" s="1">
        <v>0.67017361111111107</v>
      </c>
      <c r="L103" s="1">
        <v>0.67184027777777777</v>
      </c>
      <c r="M103" s="1">
        <v>0.67256944444444444</v>
      </c>
      <c r="N103" s="1" t="s">
        <v>365</v>
      </c>
      <c r="O103" s="1" t="s">
        <v>578</v>
      </c>
      <c r="P103" s="1" t="s">
        <v>55</v>
      </c>
      <c r="S103" s="1">
        <f t="shared" si="9"/>
        <v>2.5462962962963243E-4</v>
      </c>
      <c r="T103" s="1">
        <f t="shared" si="10"/>
        <v>6.134259259259478E-4</v>
      </c>
      <c r="U103" s="1">
        <f t="shared" si="11"/>
        <v>7.0601851851848085E-4</v>
      </c>
      <c r="V103" s="1">
        <f t="shared" si="12"/>
        <v>5.2199074074074092E-3</v>
      </c>
      <c r="W103" s="1">
        <f t="shared" si="13"/>
        <v>1.284722222222201E-3</v>
      </c>
      <c r="X103" s="1">
        <f t="shared" si="14"/>
        <v>8.9467592592592515E-3</v>
      </c>
      <c r="Y103" s="1">
        <f t="shared" si="15"/>
        <v>1.1319444444444438E-2</v>
      </c>
      <c r="Z103" s="1">
        <f t="shared" si="16"/>
        <v>1.2916666666666687E-2</v>
      </c>
      <c r="AA103" s="1">
        <f t="shared" si="17"/>
        <v>8.6805555555558023E-4</v>
      </c>
    </row>
    <row r="104" spans="1:27" x14ac:dyDescent="0.25">
      <c r="A104">
        <v>2</v>
      </c>
      <c r="B104" t="s">
        <v>618</v>
      </c>
      <c r="C104" t="s">
        <v>619</v>
      </c>
      <c r="D104">
        <v>2010</v>
      </c>
      <c r="E104" s="1">
        <v>0.6653472222222222</v>
      </c>
      <c r="F104" s="1">
        <v>0.66570601851851852</v>
      </c>
      <c r="G104" s="1">
        <v>0.66628472222222224</v>
      </c>
      <c r="H104" s="1">
        <v>0.67219907407407409</v>
      </c>
      <c r="I104" s="1">
        <v>0.66748842592592594</v>
      </c>
      <c r="J104" s="1">
        <v>0.6739236111111111</v>
      </c>
      <c r="K104" s="1">
        <v>0.67972222222222223</v>
      </c>
      <c r="L104" s="1">
        <v>0.68030092592592595</v>
      </c>
      <c r="M104" s="1">
        <v>0.68148148148148147</v>
      </c>
      <c r="N104" s="1" t="s">
        <v>446</v>
      </c>
      <c r="O104" s="1" t="s">
        <v>34</v>
      </c>
      <c r="P104" s="1" t="s">
        <v>169</v>
      </c>
      <c r="S104" s="1">
        <f t="shared" si="9"/>
        <v>3.5879629629631538E-4</v>
      </c>
      <c r="T104" s="1">
        <f t="shared" si="10"/>
        <v>5.7870370370372015E-4</v>
      </c>
      <c r="U104" s="1">
        <f t="shared" si="11"/>
        <v>1.2037037037037068E-3</v>
      </c>
      <c r="V104" s="1">
        <f t="shared" si="12"/>
        <v>5.9143518518518512E-3</v>
      </c>
      <c r="W104" s="1">
        <f t="shared" si="13"/>
        <v>1.7245370370370106E-3</v>
      </c>
      <c r="X104" s="1">
        <f t="shared" si="14"/>
        <v>1.2233796296296284E-2</v>
      </c>
      <c r="Y104" s="1">
        <f t="shared" si="15"/>
        <v>1.4016203703703711E-2</v>
      </c>
      <c r="Z104" s="1">
        <f t="shared" si="16"/>
        <v>1.6134259259259265E-2</v>
      </c>
      <c r="AA104" s="1">
        <f t="shared" si="17"/>
        <v>9.3750000000003553E-4</v>
      </c>
    </row>
    <row r="105" spans="1:27" x14ac:dyDescent="0.25">
      <c r="A105">
        <v>3</v>
      </c>
      <c r="B105" t="s">
        <v>559</v>
      </c>
      <c r="C105" t="s">
        <v>620</v>
      </c>
      <c r="D105">
        <v>2007</v>
      </c>
      <c r="E105" s="1">
        <v>0.67031249999999998</v>
      </c>
      <c r="F105" s="1">
        <v>0.6706481481481481</v>
      </c>
      <c r="G105" s="1">
        <v>0.6724768518518518</v>
      </c>
      <c r="H105" s="1">
        <v>0.67797453703703703</v>
      </c>
      <c r="I105" s="1">
        <v>0.67402777777777778</v>
      </c>
      <c r="J105" s="1">
        <v>0.68068287037037034</v>
      </c>
      <c r="K105" s="1">
        <v>0.68410879629629628</v>
      </c>
      <c r="L105" s="1">
        <v>0.68464120370370374</v>
      </c>
      <c r="M105" s="1">
        <v>0.6862731481481481</v>
      </c>
      <c r="N105" s="1" t="s">
        <v>352</v>
      </c>
      <c r="O105" s="1" t="s">
        <v>34</v>
      </c>
      <c r="P105" s="1" t="s">
        <v>55</v>
      </c>
      <c r="S105" s="1">
        <f t="shared" si="9"/>
        <v>3.356481481481266E-4</v>
      </c>
      <c r="T105" s="1">
        <f t="shared" si="10"/>
        <v>1.8287037037036935E-3</v>
      </c>
      <c r="U105" s="1">
        <f t="shared" si="11"/>
        <v>1.5509259259259833E-3</v>
      </c>
      <c r="V105" s="1">
        <f t="shared" si="12"/>
        <v>5.4976851851852304E-3</v>
      </c>
      <c r="W105" s="1">
        <f t="shared" si="13"/>
        <v>2.7083333333333126E-3</v>
      </c>
      <c r="X105" s="1">
        <f t="shared" si="14"/>
        <v>1.0081018518518503E-2</v>
      </c>
      <c r="Y105" s="1">
        <f t="shared" si="15"/>
        <v>1.216435185185194E-2</v>
      </c>
      <c r="Z105" s="1">
        <f t="shared" si="16"/>
        <v>1.5960648148148127E-2</v>
      </c>
      <c r="AA105" s="1">
        <f t="shared" si="17"/>
        <v>2.1643518518518201E-3</v>
      </c>
    </row>
    <row r="106" spans="1:27" x14ac:dyDescent="0.25">
      <c r="A106">
        <v>1</v>
      </c>
      <c r="B106" t="s">
        <v>653</v>
      </c>
      <c r="C106" t="s">
        <v>621</v>
      </c>
      <c r="D106">
        <v>2006</v>
      </c>
      <c r="E106" s="1">
        <v>0.68559027777777781</v>
      </c>
      <c r="F106" s="1">
        <v>0.68582175925925926</v>
      </c>
      <c r="G106" s="1">
        <v>0.68668981481481484</v>
      </c>
      <c r="H106" s="1">
        <v>0.68868055555555552</v>
      </c>
      <c r="I106" s="1">
        <v>0.6872800925925926</v>
      </c>
      <c r="J106" s="1">
        <v>0.69103009259259263</v>
      </c>
      <c r="K106" s="1">
        <v>0.69399305555555557</v>
      </c>
      <c r="L106" s="1">
        <v>0.69457175925925929</v>
      </c>
      <c r="M106" s="1">
        <v>0.69634259259259257</v>
      </c>
      <c r="N106" s="1" t="s">
        <v>449</v>
      </c>
      <c r="O106" s="1" t="s">
        <v>578</v>
      </c>
      <c r="P106" s="1" t="s">
        <v>55</v>
      </c>
      <c r="S106" s="1">
        <f t="shared" si="9"/>
        <v>2.3148148148144365E-4</v>
      </c>
      <c r="T106" s="1">
        <f t="shared" si="10"/>
        <v>8.6805555555558023E-4</v>
      </c>
      <c r="U106" s="1">
        <f t="shared" si="11"/>
        <v>5.9027777777775903E-4</v>
      </c>
      <c r="V106" s="1">
        <f t="shared" si="12"/>
        <v>1.9907407407406819E-3</v>
      </c>
      <c r="W106" s="1">
        <f t="shared" si="13"/>
        <v>2.3495370370371083E-3</v>
      </c>
      <c r="X106" s="1">
        <f t="shared" si="14"/>
        <v>6.7129629629629761E-3</v>
      </c>
      <c r="Y106" s="1">
        <f t="shared" si="15"/>
        <v>7.8819444444444553E-3</v>
      </c>
      <c r="Z106" s="1">
        <f t="shared" si="16"/>
        <v>1.0752314814814756E-2</v>
      </c>
      <c r="AA106" s="1">
        <f t="shared" si="17"/>
        <v>1.0995370370370239E-3</v>
      </c>
    </row>
    <row r="107" spans="1:27" x14ac:dyDescent="0.25">
      <c r="A107">
        <v>1</v>
      </c>
      <c r="B107" t="s">
        <v>559</v>
      </c>
      <c r="C107" t="s">
        <v>614</v>
      </c>
      <c r="D107">
        <v>2017</v>
      </c>
      <c r="E107" s="1">
        <v>0.70531250000000001</v>
      </c>
      <c r="F107" s="1">
        <v>0.705474537037037</v>
      </c>
      <c r="G107" s="1">
        <v>0.7065393518518519</v>
      </c>
      <c r="H107" s="1">
        <v>0.70910879629629631</v>
      </c>
      <c r="I107" s="1">
        <v>0.70817129629629627</v>
      </c>
      <c r="J107" s="1">
        <v>0.7123032407407407</v>
      </c>
      <c r="K107" s="1">
        <v>0.71476851851851853</v>
      </c>
      <c r="L107" s="1">
        <v>0.71534722222222225</v>
      </c>
      <c r="M107" s="1">
        <v>0.71619212962962964</v>
      </c>
      <c r="N107" s="1" t="s">
        <v>450</v>
      </c>
      <c r="O107" s="1" t="s">
        <v>34</v>
      </c>
      <c r="P107" s="1" t="s">
        <v>55</v>
      </c>
      <c r="S107" s="1">
        <f t="shared" si="9"/>
        <v>1.6203703703698835E-4</v>
      </c>
      <c r="T107" s="1">
        <f t="shared" si="10"/>
        <v>1.0648148148149073E-3</v>
      </c>
      <c r="U107" s="1">
        <f t="shared" si="11"/>
        <v>1.6319444444443665E-3</v>
      </c>
      <c r="V107" s="1">
        <f>H107-G107</f>
        <v>2.569444444444402E-3</v>
      </c>
      <c r="W107" s="1">
        <f t="shared" si="13"/>
        <v>3.1944444444443887E-3</v>
      </c>
      <c r="X107" s="1">
        <f t="shared" si="14"/>
        <v>6.5972222222222543E-3</v>
      </c>
      <c r="Y107" s="1">
        <f t="shared" si="15"/>
        <v>8.8078703703703409E-3</v>
      </c>
      <c r="Z107" s="1">
        <f t="shared" si="16"/>
        <v>1.0879629629629628E-2</v>
      </c>
      <c r="AA107" s="1">
        <f t="shared" si="17"/>
        <v>1.2268518518518956E-3</v>
      </c>
    </row>
    <row r="108" spans="1:27" x14ac:dyDescent="0.25">
      <c r="A108">
        <v>2</v>
      </c>
      <c r="B108" t="s">
        <v>622</v>
      </c>
      <c r="C108" t="s">
        <v>623</v>
      </c>
      <c r="D108">
        <v>2016</v>
      </c>
      <c r="E108" s="1">
        <v>0.71013888888888888</v>
      </c>
      <c r="F108" s="1">
        <v>0.71028935185185182</v>
      </c>
      <c r="G108" s="1">
        <v>0.71109953703703699</v>
      </c>
      <c r="H108" s="1">
        <v>0.71263888888888893</v>
      </c>
      <c r="I108" s="1">
        <v>0.71186342592592589</v>
      </c>
      <c r="J108" s="1">
        <v>0.71543981481481478</v>
      </c>
      <c r="K108" s="1">
        <v>0.72787037037037039</v>
      </c>
      <c r="L108" s="1">
        <v>0.75225694444444446</v>
      </c>
      <c r="M108" s="1">
        <v>0.75377314814814811</v>
      </c>
      <c r="N108" s="1" t="s">
        <v>685</v>
      </c>
      <c r="O108" s="1" t="s">
        <v>578</v>
      </c>
      <c r="P108" s="1" t="s">
        <v>169</v>
      </c>
      <c r="S108" s="1">
        <f t="shared" si="9"/>
        <v>1.5046296296294948E-4</v>
      </c>
      <c r="T108" s="1">
        <f t="shared" si="10"/>
        <v>8.101851851851638E-4</v>
      </c>
      <c r="U108" s="1">
        <f t="shared" si="11"/>
        <v>7.6388888888889728E-4</v>
      </c>
      <c r="V108" s="1">
        <f t="shared" si="12"/>
        <v>1.5393518518519445E-3</v>
      </c>
      <c r="W108" s="1">
        <f t="shared" si="13"/>
        <v>2.8009259259258457E-3</v>
      </c>
      <c r="X108" s="1">
        <f t="shared" si="14"/>
        <v>1.6006944444444504E-2</v>
      </c>
      <c r="Y108" s="1">
        <f t="shared" si="15"/>
        <v>4.1157407407407476E-2</v>
      </c>
      <c r="Z108" s="1">
        <f t="shared" si="16"/>
        <v>4.3634259259259234E-2</v>
      </c>
      <c r="AA108" s="1">
        <f t="shared" si="17"/>
        <v>9.6064814814811328E-4</v>
      </c>
    </row>
    <row r="109" spans="1:27" x14ac:dyDescent="0.25">
      <c r="A109">
        <v>1</v>
      </c>
      <c r="B109" t="s">
        <v>561</v>
      </c>
      <c r="C109" t="s">
        <v>454</v>
      </c>
      <c r="D109">
        <v>2003</v>
      </c>
      <c r="E109" s="1">
        <v>0.75190972222222219</v>
      </c>
      <c r="F109" s="1">
        <v>0.75209490740740736</v>
      </c>
      <c r="G109" s="1">
        <v>0.75363425925925931</v>
      </c>
      <c r="H109" s="1">
        <v>0.75628472222222221</v>
      </c>
      <c r="I109" s="1">
        <v>0.75468749999999996</v>
      </c>
      <c r="J109" s="1">
        <v>0.75714120370370375</v>
      </c>
      <c r="K109" s="1">
        <v>0.76202546296296292</v>
      </c>
      <c r="L109" s="1">
        <v>0.76228009259259255</v>
      </c>
      <c r="M109" s="1">
        <v>0.76515046296296296</v>
      </c>
      <c r="N109" s="1" t="s">
        <v>54</v>
      </c>
      <c r="O109" s="1" t="s">
        <v>34</v>
      </c>
      <c r="P109" s="1" t="s">
        <v>55</v>
      </c>
      <c r="S109" s="1">
        <f t="shared" si="9"/>
        <v>1.8518518518517713E-4</v>
      </c>
      <c r="T109" s="1">
        <f t="shared" si="10"/>
        <v>1.5393518518519445E-3</v>
      </c>
      <c r="U109" s="1">
        <f t="shared" si="11"/>
        <v>1.0532407407406463E-3</v>
      </c>
      <c r="V109" s="1">
        <f t="shared" si="12"/>
        <v>2.6504629629628962E-3</v>
      </c>
      <c r="W109" s="1">
        <f t="shared" si="13"/>
        <v>8.5648148148154135E-4</v>
      </c>
      <c r="X109" s="1">
        <f t="shared" si="14"/>
        <v>7.3379629629629628E-3</v>
      </c>
      <c r="Y109" s="1">
        <f t="shared" si="15"/>
        <v>8.6458333333332416E-3</v>
      </c>
      <c r="Z109" s="1">
        <f t="shared" si="16"/>
        <v>1.3240740740740775E-2</v>
      </c>
      <c r="AA109" s="1">
        <f t="shared" si="17"/>
        <v>1.7245370370371216E-3</v>
      </c>
    </row>
    <row r="110" spans="1:27" x14ac:dyDescent="0.25">
      <c r="A110">
        <v>2</v>
      </c>
      <c r="B110" t="s">
        <v>559</v>
      </c>
      <c r="C110" t="s">
        <v>624</v>
      </c>
      <c r="D110">
        <v>2021</v>
      </c>
      <c r="E110" s="1">
        <v>0.75312500000000004</v>
      </c>
      <c r="F110" s="1">
        <v>0.75327546296296299</v>
      </c>
      <c r="G110" s="1">
        <v>0.75511574074074073</v>
      </c>
      <c r="H110" s="1">
        <v>0.75688657407407411</v>
      </c>
      <c r="I110" s="1">
        <v>0.75581018518518517</v>
      </c>
      <c r="J110" s="1">
        <v>0.75944444444444448</v>
      </c>
      <c r="K110" s="1">
        <v>0.76337962962962957</v>
      </c>
      <c r="L110" s="1">
        <v>0.76437500000000003</v>
      </c>
      <c r="M110" s="1">
        <v>0.766087962962963</v>
      </c>
      <c r="N110" s="1" t="s">
        <v>54</v>
      </c>
      <c r="O110" s="1" t="s">
        <v>34</v>
      </c>
      <c r="P110" s="1" t="s">
        <v>55</v>
      </c>
      <c r="S110" s="1">
        <f t="shared" si="9"/>
        <v>1.5046296296294948E-4</v>
      </c>
      <c r="T110" s="1">
        <f t="shared" si="10"/>
        <v>1.8402777777777324E-3</v>
      </c>
      <c r="U110" s="1">
        <f t="shared" si="11"/>
        <v>6.9444444444444198E-4</v>
      </c>
      <c r="V110" s="1">
        <f t="shared" si="12"/>
        <v>1.7708333333333881E-3</v>
      </c>
      <c r="W110" s="1">
        <f t="shared" si="13"/>
        <v>2.5578703703703631E-3</v>
      </c>
      <c r="X110" s="1">
        <f t="shared" si="14"/>
        <v>7.5694444444444065E-3</v>
      </c>
      <c r="Y110" s="1">
        <f t="shared" si="15"/>
        <v>9.2592592592593004E-3</v>
      </c>
      <c r="Z110" s="1">
        <f t="shared" si="16"/>
        <v>1.2962962962962954E-2</v>
      </c>
      <c r="AA110" s="1">
        <f t="shared" si="17"/>
        <v>1.9907407407406819E-3</v>
      </c>
    </row>
    <row r="111" spans="1:27" x14ac:dyDescent="0.25">
      <c r="A111">
        <v>1</v>
      </c>
      <c r="B111" t="s">
        <v>580</v>
      </c>
      <c r="C111" t="s">
        <v>649</v>
      </c>
      <c r="D111">
        <v>2012</v>
      </c>
      <c r="E111" s="1">
        <v>0.40768518518518521</v>
      </c>
      <c r="F111" s="1">
        <v>0.40790509259259261</v>
      </c>
      <c r="G111" s="1">
        <v>0.40895833333333331</v>
      </c>
      <c r="H111" s="1">
        <v>0.41074074074074074</v>
      </c>
      <c r="I111" s="1">
        <v>0.41038194444444442</v>
      </c>
      <c r="J111" s="1">
        <v>0.41202546296296294</v>
      </c>
      <c r="K111" s="1">
        <v>0.41473379629629631</v>
      </c>
      <c r="L111" s="1">
        <v>0.4150462962962963</v>
      </c>
      <c r="M111" s="1">
        <v>0.41549768518518521</v>
      </c>
      <c r="N111" s="1" t="s">
        <v>343</v>
      </c>
      <c r="O111" s="1" t="s">
        <v>578</v>
      </c>
      <c r="P111" s="1" t="s">
        <v>169</v>
      </c>
      <c r="S111" s="1">
        <f t="shared" si="9"/>
        <v>2.1990740740740478E-4</v>
      </c>
      <c r="T111" s="1">
        <f t="shared" si="10"/>
        <v>1.0532407407407018E-3</v>
      </c>
      <c r="U111" s="1">
        <f t="shared" si="11"/>
        <v>1.4236111111111116E-3</v>
      </c>
      <c r="V111" s="1">
        <f t="shared" si="12"/>
        <v>1.782407407407427E-3</v>
      </c>
      <c r="W111" s="1">
        <f t="shared" si="13"/>
        <v>1.284722222222201E-3</v>
      </c>
      <c r="X111" s="1">
        <f t="shared" si="14"/>
        <v>4.3518518518518845E-3</v>
      </c>
      <c r="Y111" s="1">
        <f t="shared" si="15"/>
        <v>6.0879629629629894E-3</v>
      </c>
      <c r="Z111" s="1">
        <f t="shared" si="16"/>
        <v>7.8125E-3</v>
      </c>
      <c r="AA111" s="1">
        <f t="shared" si="17"/>
        <v>1.2731481481481066E-3</v>
      </c>
    </row>
    <row r="112" spans="1:27" x14ac:dyDescent="0.25">
      <c r="A112">
        <v>2</v>
      </c>
      <c r="B112" t="s">
        <v>406</v>
      </c>
      <c r="C112" t="s">
        <v>625</v>
      </c>
      <c r="D112">
        <v>2017</v>
      </c>
      <c r="E112" s="1">
        <v>0.41369212962962965</v>
      </c>
      <c r="F112" s="1">
        <v>0.41388888888888886</v>
      </c>
      <c r="G112" s="1">
        <v>0.41465277777777776</v>
      </c>
      <c r="H112" s="1">
        <v>0.41706018518518517</v>
      </c>
      <c r="I112" s="1">
        <v>0.41550925925925924</v>
      </c>
      <c r="J112" s="1">
        <v>0.41834490740740743</v>
      </c>
      <c r="K112" s="1">
        <v>0.42170138888888886</v>
      </c>
      <c r="L112" s="1">
        <v>0.42298611111111112</v>
      </c>
      <c r="M112" s="1">
        <v>0.42181712962962964</v>
      </c>
      <c r="N112" s="1" t="s">
        <v>702</v>
      </c>
      <c r="O112" s="1" t="s">
        <v>34</v>
      </c>
      <c r="P112" s="1" t="s">
        <v>55</v>
      </c>
      <c r="S112" s="1">
        <f t="shared" si="9"/>
        <v>1.96759259259216E-4</v>
      </c>
      <c r="T112" s="1">
        <f t="shared" si="10"/>
        <v>7.6388888888889728E-4</v>
      </c>
      <c r="U112" s="1">
        <f t="shared" si="11"/>
        <v>8.5648148148148584E-4</v>
      </c>
      <c r="V112" s="1">
        <f t="shared" si="12"/>
        <v>2.4074074074074137E-3</v>
      </c>
      <c r="W112" s="1">
        <f t="shared" si="13"/>
        <v>1.2847222222222565E-3</v>
      </c>
      <c r="X112" s="1">
        <f t="shared" si="14"/>
        <v>6.1921296296296169E-3</v>
      </c>
      <c r="Y112" s="1">
        <f t="shared" si="15"/>
        <v>8.3333333333333592E-3</v>
      </c>
      <c r="Z112" s="1">
        <f t="shared" si="16"/>
        <v>8.1249999999999933E-3</v>
      </c>
      <c r="AA112" s="1">
        <f t="shared" si="17"/>
        <v>9.6064814814811328E-4</v>
      </c>
    </row>
    <row r="113" spans="1:27" x14ac:dyDescent="0.25">
      <c r="A113">
        <v>1</v>
      </c>
      <c r="B113" t="s">
        <v>393</v>
      </c>
      <c r="C113" t="s">
        <v>353</v>
      </c>
      <c r="D113">
        <v>2014</v>
      </c>
      <c r="E113" s="1">
        <v>0.42466435185185186</v>
      </c>
      <c r="F113" s="1">
        <v>0.42481481481481481</v>
      </c>
      <c r="G113" s="1">
        <v>0.42563657407407407</v>
      </c>
      <c r="H113" s="1">
        <v>0.42748842592592595</v>
      </c>
      <c r="I113" s="1">
        <v>0.42662037037037037</v>
      </c>
      <c r="J113" s="1">
        <v>0.42936342592592591</v>
      </c>
      <c r="K113" s="1">
        <v>0.43253472222222222</v>
      </c>
      <c r="L113" s="1">
        <v>0.43290509259259258</v>
      </c>
      <c r="M113" s="1">
        <v>0.43377314814814816</v>
      </c>
      <c r="N113" s="1" t="s">
        <v>333</v>
      </c>
      <c r="O113" s="1" t="s">
        <v>34</v>
      </c>
      <c r="P113" s="1" t="s">
        <v>55</v>
      </c>
      <c r="S113" s="1">
        <f t="shared" si="9"/>
        <v>1.5046296296294948E-4</v>
      </c>
      <c r="T113" s="1">
        <f t="shared" si="10"/>
        <v>8.2175925925925819E-4</v>
      </c>
      <c r="U113" s="1">
        <f t="shared" si="11"/>
        <v>9.8379629629630205E-4</v>
      </c>
      <c r="V113" s="1">
        <f t="shared" si="12"/>
        <v>1.8518518518518823E-3</v>
      </c>
      <c r="W113" s="1">
        <f t="shared" si="13"/>
        <v>1.87499999999996E-3</v>
      </c>
      <c r="X113" s="1">
        <f t="shared" si="14"/>
        <v>5.9143518518518512E-3</v>
      </c>
      <c r="Y113" s="1">
        <f t="shared" si="15"/>
        <v>7.2685185185185075E-3</v>
      </c>
      <c r="Z113" s="1">
        <f t="shared" si="16"/>
        <v>9.1087962962962954E-3</v>
      </c>
      <c r="AA113" s="1">
        <f t="shared" si="17"/>
        <v>9.7222222222220767E-4</v>
      </c>
    </row>
    <row r="114" spans="1:27" x14ac:dyDescent="0.25">
      <c r="A114">
        <v>1</v>
      </c>
      <c r="B114" t="s">
        <v>580</v>
      </c>
      <c r="C114" t="s">
        <v>619</v>
      </c>
      <c r="D114">
        <v>2013</v>
      </c>
      <c r="E114" s="1">
        <v>0.51796296296296296</v>
      </c>
      <c r="F114" s="1">
        <v>0.5181365740740741</v>
      </c>
      <c r="G114" s="1">
        <v>0.51974537037037039</v>
      </c>
      <c r="H114" s="1">
        <v>0.52271990740740737</v>
      </c>
      <c r="I114" s="1">
        <v>0.52060185185185182</v>
      </c>
      <c r="J114" s="1">
        <v>0.52431712962962962</v>
      </c>
      <c r="K114" s="1">
        <v>0.52819444444444441</v>
      </c>
      <c r="L114" s="1">
        <v>0.52938657407407408</v>
      </c>
      <c r="M114" s="1">
        <v>0.53019675925925924</v>
      </c>
      <c r="N114" s="1" t="s">
        <v>365</v>
      </c>
      <c r="O114" s="1" t="s">
        <v>34</v>
      </c>
      <c r="P114" s="1" t="s">
        <v>169</v>
      </c>
      <c r="S114" s="1">
        <f t="shared" si="9"/>
        <v>1.7361111111113825E-4</v>
      </c>
      <c r="T114" s="1">
        <f t="shared" si="10"/>
        <v>1.6087962962962887E-3</v>
      </c>
      <c r="U114" s="1">
        <f t="shared" si="11"/>
        <v>8.5648148148143033E-4</v>
      </c>
      <c r="V114" s="1">
        <f t="shared" si="12"/>
        <v>2.9745370370369839E-3</v>
      </c>
      <c r="W114" s="1">
        <f t="shared" si="13"/>
        <v>1.5972222222222499E-3</v>
      </c>
      <c r="X114" s="1">
        <f t="shared" si="14"/>
        <v>7.5925925925925952E-3</v>
      </c>
      <c r="Y114" s="1">
        <f t="shared" si="15"/>
        <v>9.6412037037036935E-3</v>
      </c>
      <c r="Z114" s="1">
        <f t="shared" si="16"/>
        <v>1.2233796296296284E-2</v>
      </c>
      <c r="AA114" s="1">
        <f t="shared" si="17"/>
        <v>1.782407407407427E-3</v>
      </c>
    </row>
    <row r="115" spans="1:27" x14ac:dyDescent="0.25">
      <c r="A115">
        <v>2</v>
      </c>
      <c r="B115" t="s">
        <v>8</v>
      </c>
      <c r="C115" t="s">
        <v>385</v>
      </c>
      <c r="D115">
        <v>2020</v>
      </c>
      <c r="E115" s="1">
        <v>0.53275462962962961</v>
      </c>
      <c r="F115" s="1">
        <v>0.53290509259259256</v>
      </c>
      <c r="G115" s="1">
        <v>0.53435185185185186</v>
      </c>
      <c r="H115" s="1">
        <v>0.53751157407407413</v>
      </c>
      <c r="I115" s="1">
        <v>0.53585648148148146</v>
      </c>
      <c r="J115" s="1">
        <v>0.5392824074074074</v>
      </c>
      <c r="K115" s="1">
        <v>0.5481018518518519</v>
      </c>
      <c r="L115" s="1">
        <v>0.55062500000000003</v>
      </c>
      <c r="M115" s="1">
        <v>0.55256944444444445</v>
      </c>
      <c r="N115" s="1" t="s">
        <v>459</v>
      </c>
      <c r="O115" s="1" t="s">
        <v>34</v>
      </c>
      <c r="P115" s="1" t="s">
        <v>55</v>
      </c>
      <c r="S115" s="1">
        <f t="shared" si="9"/>
        <v>1.5046296296294948E-4</v>
      </c>
      <c r="T115" s="1">
        <f t="shared" si="10"/>
        <v>1.4467592592593004E-3</v>
      </c>
      <c r="U115" s="1">
        <f t="shared" si="11"/>
        <v>1.5046296296296058E-3</v>
      </c>
      <c r="V115" s="1">
        <f t="shared" si="12"/>
        <v>3.1597222222222721E-3</v>
      </c>
      <c r="W115" s="1">
        <f t="shared" si="13"/>
        <v>1.7708333333332771E-3</v>
      </c>
      <c r="X115" s="1">
        <f t="shared" si="14"/>
        <v>1.2245370370370434E-2</v>
      </c>
      <c r="Y115" s="1">
        <f t="shared" si="15"/>
        <v>1.6273148148148175E-2</v>
      </c>
      <c r="Z115" s="1">
        <f t="shared" si="16"/>
        <v>1.9814814814814841E-2</v>
      </c>
      <c r="AA115" s="1">
        <f t="shared" si="17"/>
        <v>1.5972222222222499E-3</v>
      </c>
    </row>
    <row r="116" spans="1:27" x14ac:dyDescent="0.25">
      <c r="A116">
        <v>3</v>
      </c>
      <c r="B116" t="s">
        <v>559</v>
      </c>
      <c r="C116" t="s">
        <v>620</v>
      </c>
      <c r="D116">
        <v>2013</v>
      </c>
      <c r="E116" s="1">
        <v>0.53600694444444441</v>
      </c>
      <c r="F116" s="1">
        <v>0.53615740740740736</v>
      </c>
      <c r="G116" s="1">
        <v>0.53792824074074075</v>
      </c>
      <c r="H116" s="1">
        <v>0.5410300925925926</v>
      </c>
      <c r="I116" s="1">
        <v>0.53946759259259258</v>
      </c>
      <c r="J116" s="1">
        <v>0.54508101851851853</v>
      </c>
      <c r="K116" s="1">
        <v>0.55436342592592591</v>
      </c>
      <c r="L116" s="1">
        <v>0.55533564814814818</v>
      </c>
      <c r="M116" s="1">
        <v>0.55770833333333336</v>
      </c>
      <c r="N116" s="1" t="s">
        <v>54</v>
      </c>
      <c r="O116" s="1" t="s">
        <v>34</v>
      </c>
      <c r="P116" s="1" t="s">
        <v>55</v>
      </c>
      <c r="S116" s="1">
        <f t="shared" si="9"/>
        <v>1.5046296296294948E-4</v>
      </c>
      <c r="T116" s="1">
        <f t="shared" si="10"/>
        <v>1.7708333333333881E-3</v>
      </c>
      <c r="U116" s="1">
        <f t="shared" si="11"/>
        <v>1.5393518518518334E-3</v>
      </c>
      <c r="V116" s="1">
        <f t="shared" si="12"/>
        <v>3.1018518518518556E-3</v>
      </c>
      <c r="W116" s="1">
        <f t="shared" si="13"/>
        <v>4.05092592592593E-3</v>
      </c>
      <c r="X116" s="1">
        <f t="shared" si="14"/>
        <v>1.489583333333333E-2</v>
      </c>
      <c r="Y116" s="1">
        <f t="shared" si="15"/>
        <v>1.7407407407407427E-2</v>
      </c>
      <c r="Z116" s="1">
        <f t="shared" si="16"/>
        <v>2.1701388888888951E-2</v>
      </c>
      <c r="AA116" s="1">
        <f t="shared" si="17"/>
        <v>1.9212962962963376E-3</v>
      </c>
    </row>
    <row r="117" spans="1:27" x14ac:dyDescent="0.25">
      <c r="A117">
        <v>4</v>
      </c>
      <c r="B117" t="s">
        <v>565</v>
      </c>
      <c r="C117" t="s">
        <v>656</v>
      </c>
      <c r="D117">
        <v>2015</v>
      </c>
      <c r="E117" s="1">
        <v>0.541412037037037</v>
      </c>
      <c r="F117" s="1">
        <v>0.54159722222222217</v>
      </c>
      <c r="G117" s="1">
        <v>0.54233796296296299</v>
      </c>
      <c r="H117" s="1">
        <v>0.54689814814814819</v>
      </c>
      <c r="I117" s="1">
        <v>0.54348379629629628</v>
      </c>
      <c r="J117" s="1">
        <v>0.54689814814814819</v>
      </c>
      <c r="K117" s="1">
        <v>0.55589120370370371</v>
      </c>
      <c r="L117" s="1">
        <v>0.57148148148148148</v>
      </c>
      <c r="M117" s="1">
        <v>0.59429398148148149</v>
      </c>
      <c r="N117" s="1" t="s">
        <v>547</v>
      </c>
      <c r="O117" s="1" t="s">
        <v>34</v>
      </c>
      <c r="P117" s="1" t="s">
        <v>55</v>
      </c>
      <c r="S117" s="1">
        <f t="shared" si="9"/>
        <v>1.8518518518517713E-4</v>
      </c>
      <c r="T117" s="1">
        <f t="shared" si="10"/>
        <v>7.4074074074081953E-4</v>
      </c>
      <c r="U117" s="1">
        <f t="shared" si="11"/>
        <v>1.1458333333332904E-3</v>
      </c>
      <c r="V117" s="1">
        <f t="shared" si="12"/>
        <v>4.5601851851851949E-3</v>
      </c>
      <c r="W117" s="1">
        <f t="shared" si="13"/>
        <v>0</v>
      </c>
      <c r="X117" s="1">
        <f t="shared" si="14"/>
        <v>1.2407407407407423E-2</v>
      </c>
      <c r="Y117" s="1">
        <f t="shared" si="15"/>
        <v>2.9143518518518485E-2</v>
      </c>
      <c r="Z117" s="1">
        <f t="shared" si="16"/>
        <v>5.2881944444444495E-2</v>
      </c>
      <c r="AA117" s="1">
        <f t="shared" si="17"/>
        <v>9.2592592592599665E-4</v>
      </c>
    </row>
    <row r="118" spans="1:27" x14ac:dyDescent="0.25">
      <c r="A118">
        <v>2</v>
      </c>
      <c r="B118" t="s">
        <v>8</v>
      </c>
      <c r="C118" t="s">
        <v>383</v>
      </c>
      <c r="D118">
        <v>2010</v>
      </c>
      <c r="E118" s="1">
        <v>0.5543865740740741</v>
      </c>
      <c r="F118" s="1">
        <v>0.55474537037037042</v>
      </c>
      <c r="G118" s="1">
        <v>0.55612268518518515</v>
      </c>
      <c r="H118" s="1">
        <v>0.56155092592592593</v>
      </c>
      <c r="I118" s="1">
        <v>0.55743055555555554</v>
      </c>
      <c r="J118" s="1">
        <v>0.56739583333333332</v>
      </c>
      <c r="K118" s="1">
        <v>0.57517361111111109</v>
      </c>
      <c r="L118" s="1">
        <v>0.57655092592592594</v>
      </c>
      <c r="M118" s="1">
        <v>0.57829861111111114</v>
      </c>
      <c r="N118" s="1" t="s">
        <v>548</v>
      </c>
      <c r="O118" s="1" t="s">
        <v>555</v>
      </c>
      <c r="P118" s="1" t="s">
        <v>55</v>
      </c>
      <c r="S118" s="1">
        <f t="shared" si="9"/>
        <v>3.5879629629631538E-4</v>
      </c>
      <c r="T118" s="1">
        <f t="shared" si="10"/>
        <v>1.3773148148147341E-3</v>
      </c>
      <c r="U118" s="1">
        <f t="shared" si="11"/>
        <v>1.3078703703703898E-3</v>
      </c>
      <c r="V118" s="1">
        <f t="shared" si="12"/>
        <v>5.4282407407407751E-3</v>
      </c>
      <c r="W118" s="1">
        <f t="shared" si="13"/>
        <v>5.8449074074073959E-3</v>
      </c>
      <c r="X118" s="1">
        <f t="shared" si="14"/>
        <v>1.7743055555555554E-2</v>
      </c>
      <c r="Y118" s="1">
        <f t="shared" si="15"/>
        <v>2.0428240740740788E-2</v>
      </c>
      <c r="Z118" s="1">
        <f t="shared" si="16"/>
        <v>2.3912037037037037E-2</v>
      </c>
      <c r="AA118" s="1">
        <f t="shared" si="17"/>
        <v>1.7361111111110494E-3</v>
      </c>
    </row>
    <row r="119" spans="1:27" x14ac:dyDescent="0.25">
      <c r="A119">
        <v>3</v>
      </c>
      <c r="B119" t="s">
        <v>617</v>
      </c>
      <c r="C119" t="s">
        <v>626</v>
      </c>
      <c r="D119">
        <v>2018</v>
      </c>
      <c r="E119" s="1">
        <v>0.57417824074074075</v>
      </c>
      <c r="F119" s="1">
        <v>0.57434027777777774</v>
      </c>
      <c r="G119" s="1">
        <v>0.57562500000000005</v>
      </c>
      <c r="H119" s="1">
        <v>0.57751157407407405</v>
      </c>
      <c r="I119" s="1">
        <v>0.57609953703703709</v>
      </c>
      <c r="J119" s="1">
        <v>0.58010416666666664</v>
      </c>
      <c r="K119" s="1">
        <v>0.58190972222222226</v>
      </c>
      <c r="L119" s="1">
        <v>0.58225694444444442</v>
      </c>
      <c r="M119" s="1">
        <v>0.58851851851851855</v>
      </c>
      <c r="N119" s="1" t="s">
        <v>464</v>
      </c>
      <c r="O119" s="1" t="s">
        <v>34</v>
      </c>
      <c r="P119" s="1" t="s">
        <v>584</v>
      </c>
      <c r="S119" s="1">
        <f t="shared" si="9"/>
        <v>1.6203703703698835E-4</v>
      </c>
      <c r="T119" s="1">
        <f t="shared" si="10"/>
        <v>1.284722222222312E-3</v>
      </c>
      <c r="U119" s="1">
        <f t="shared" si="11"/>
        <v>4.745370370370372E-4</v>
      </c>
      <c r="V119" s="1">
        <f t="shared" si="12"/>
        <v>1.8865740740739989E-3</v>
      </c>
      <c r="W119" s="1">
        <f t="shared" si="13"/>
        <v>2.5925925925925908E-3</v>
      </c>
      <c r="X119" s="1">
        <f t="shared" si="14"/>
        <v>5.8101851851851682E-3</v>
      </c>
      <c r="Y119" s="1">
        <f t="shared" si="15"/>
        <v>6.6319444444443709E-3</v>
      </c>
      <c r="Z119" s="1">
        <f t="shared" si="16"/>
        <v>1.4340277777777799E-2</v>
      </c>
      <c r="AA119" s="1">
        <f t="shared" si="17"/>
        <v>1.4467592592593004E-3</v>
      </c>
    </row>
    <row r="120" spans="1:27" x14ac:dyDescent="0.25">
      <c r="A120">
        <v>2</v>
      </c>
      <c r="B120" t="s">
        <v>561</v>
      </c>
      <c r="C120" t="s">
        <v>612</v>
      </c>
      <c r="D120">
        <v>2015</v>
      </c>
      <c r="E120" s="1">
        <v>0.60537037037037034</v>
      </c>
      <c r="F120" s="1">
        <v>0.60563657407407412</v>
      </c>
      <c r="G120" s="1">
        <v>0.60677083333333337</v>
      </c>
      <c r="H120" s="1">
        <v>0.60944444444444446</v>
      </c>
      <c r="I120" s="1">
        <v>0.60751157407407408</v>
      </c>
      <c r="J120" s="1">
        <v>0.61109953703703701</v>
      </c>
      <c r="K120" s="1">
        <v>0.61527777777777781</v>
      </c>
      <c r="L120" s="1">
        <v>0.61611111111111116</v>
      </c>
      <c r="M120" s="1">
        <v>0.62015046296296295</v>
      </c>
      <c r="N120" s="1" t="s">
        <v>54</v>
      </c>
      <c r="O120" s="1" t="s">
        <v>34</v>
      </c>
      <c r="P120" s="1" t="s">
        <v>55</v>
      </c>
      <c r="S120" s="1">
        <f t="shared" si="9"/>
        <v>2.6620370370378232E-4</v>
      </c>
      <c r="T120" s="1">
        <f t="shared" si="10"/>
        <v>1.1342592592592515E-3</v>
      </c>
      <c r="U120" s="1">
        <f t="shared" si="11"/>
        <v>7.407407407407085E-4</v>
      </c>
      <c r="V120" s="1">
        <f t="shared" si="12"/>
        <v>2.673611111111085E-3</v>
      </c>
      <c r="W120" s="1">
        <f t="shared" si="13"/>
        <v>1.6550925925925553E-3</v>
      </c>
      <c r="X120" s="1">
        <f t="shared" si="14"/>
        <v>7.7662037037037335E-3</v>
      </c>
      <c r="Y120" s="1">
        <f t="shared" si="15"/>
        <v>9.3402777777777946E-3</v>
      </c>
      <c r="Z120" s="1">
        <f t="shared" si="16"/>
        <v>1.4780092592592609E-2</v>
      </c>
      <c r="AA120" s="1">
        <f t="shared" si="17"/>
        <v>1.4004629629630339E-3</v>
      </c>
    </row>
    <row r="121" spans="1:27" x14ac:dyDescent="0.25">
      <c r="A121">
        <v>4</v>
      </c>
      <c r="B121" t="s">
        <v>608</v>
      </c>
      <c r="C121" t="s">
        <v>703</v>
      </c>
      <c r="D121">
        <v>2013</v>
      </c>
      <c r="E121" s="1">
        <v>0.60699074074074078</v>
      </c>
      <c r="F121" s="1">
        <v>0.60741898148148143</v>
      </c>
      <c r="G121" s="1">
        <v>0.61108796296296297</v>
      </c>
      <c r="H121" s="1">
        <v>0.61488425925925927</v>
      </c>
      <c r="I121" s="1">
        <v>0.6128703703703704</v>
      </c>
      <c r="J121" s="1">
        <v>0.61946759259259254</v>
      </c>
      <c r="K121" s="1">
        <v>0.62785879629629626</v>
      </c>
      <c r="L121" s="1">
        <v>0.62935185185185183</v>
      </c>
      <c r="M121" s="1">
        <v>0.62981481481481483</v>
      </c>
      <c r="N121" s="1" t="s">
        <v>343</v>
      </c>
      <c r="O121" s="1" t="s">
        <v>578</v>
      </c>
      <c r="P121" s="1" t="s">
        <v>169</v>
      </c>
      <c r="S121" s="1">
        <f t="shared" si="9"/>
        <v>4.2824074074065965E-4</v>
      </c>
      <c r="T121" s="1">
        <f t="shared" si="10"/>
        <v>3.6689814814815369E-3</v>
      </c>
      <c r="U121" s="1">
        <f t="shared" si="11"/>
        <v>1.782407407407427E-3</v>
      </c>
      <c r="V121" s="1">
        <f t="shared" si="12"/>
        <v>3.7962962962962976E-3</v>
      </c>
      <c r="W121" s="1">
        <f t="shared" si="13"/>
        <v>4.5833333333332726E-3</v>
      </c>
      <c r="X121" s="1">
        <f t="shared" si="14"/>
        <v>1.4988425925925863E-2</v>
      </c>
      <c r="Y121" s="1">
        <f t="shared" si="15"/>
        <v>1.8263888888888857E-2</v>
      </c>
      <c r="Z121" s="1">
        <f t="shared" si="16"/>
        <v>2.2824074074074052E-2</v>
      </c>
      <c r="AA121" s="1">
        <f t="shared" si="17"/>
        <v>4.0972222222221966E-3</v>
      </c>
    </row>
    <row r="122" spans="1:27" x14ac:dyDescent="0.25">
      <c r="A122">
        <v>1</v>
      </c>
      <c r="B122" t="s">
        <v>8</v>
      </c>
      <c r="C122" t="s">
        <v>650</v>
      </c>
      <c r="D122">
        <v>2013</v>
      </c>
      <c r="E122" s="1">
        <v>0.61152777777777778</v>
      </c>
      <c r="F122" s="1">
        <v>0.61232638888888891</v>
      </c>
      <c r="G122" s="1">
        <v>0.61472222222222217</v>
      </c>
      <c r="H122" s="1">
        <v>0.61776620370370372</v>
      </c>
      <c r="I122" s="1">
        <v>0.61608796296296298</v>
      </c>
      <c r="J122" s="1">
        <v>0.62343749999999998</v>
      </c>
      <c r="K122" s="1">
        <v>0.6292592592592593</v>
      </c>
      <c r="L122" s="1">
        <v>0.63325231481481481</v>
      </c>
      <c r="M122" s="1">
        <v>0.63521990740740741</v>
      </c>
      <c r="N122" s="1" t="s">
        <v>343</v>
      </c>
      <c r="O122" s="1" t="s">
        <v>578</v>
      </c>
      <c r="P122" s="1" t="s">
        <v>55</v>
      </c>
      <c r="S122" s="1">
        <f t="shared" si="9"/>
        <v>7.9861111111112493E-4</v>
      </c>
      <c r="T122" s="1">
        <f t="shared" si="10"/>
        <v>2.3958333333332638E-3</v>
      </c>
      <c r="U122" s="1">
        <f t="shared" si="11"/>
        <v>1.3657407407408062E-3</v>
      </c>
      <c r="V122" s="1">
        <f t="shared" si="12"/>
        <v>3.0439814814815502E-3</v>
      </c>
      <c r="W122" s="1">
        <f t="shared" si="13"/>
        <v>5.6712962962962576E-3</v>
      </c>
      <c r="X122" s="1">
        <f t="shared" si="14"/>
        <v>1.317129629629632E-2</v>
      </c>
      <c r="Y122" s="1">
        <f t="shared" si="15"/>
        <v>1.853009259259264E-2</v>
      </c>
      <c r="Z122" s="1">
        <f t="shared" si="16"/>
        <v>2.3692129629629632E-2</v>
      </c>
      <c r="AA122" s="1">
        <f t="shared" si="17"/>
        <v>3.1944444444443887E-3</v>
      </c>
    </row>
    <row r="123" spans="1:27" x14ac:dyDescent="0.25">
      <c r="A123">
        <v>2</v>
      </c>
      <c r="B123" t="s">
        <v>406</v>
      </c>
      <c r="C123" t="s">
        <v>627</v>
      </c>
      <c r="D123">
        <v>2024</v>
      </c>
      <c r="E123" s="1">
        <v>0.61962962962962964</v>
      </c>
      <c r="F123" s="1">
        <v>0.61982638888888886</v>
      </c>
      <c r="G123" s="1">
        <v>0.62267361111111108</v>
      </c>
      <c r="H123" s="1">
        <v>0.62486111111111109</v>
      </c>
      <c r="I123" s="1">
        <v>0.62342592592592594</v>
      </c>
      <c r="J123" s="1">
        <v>0.62770833333333331</v>
      </c>
      <c r="K123" s="1">
        <v>0.63137731481481485</v>
      </c>
      <c r="L123" s="1">
        <v>0.63449074074074074</v>
      </c>
      <c r="M123" s="1">
        <v>0.63612268518518522</v>
      </c>
      <c r="N123" s="1" t="s">
        <v>333</v>
      </c>
      <c r="O123" s="1" t="s">
        <v>555</v>
      </c>
      <c r="P123" s="1" t="s">
        <v>55</v>
      </c>
      <c r="S123" s="1">
        <f t="shared" si="9"/>
        <v>1.96759259259216E-4</v>
      </c>
      <c r="T123" s="1">
        <f t="shared" si="10"/>
        <v>2.8472222222222232E-3</v>
      </c>
      <c r="U123" s="1">
        <f t="shared" si="11"/>
        <v>7.523148148148584E-4</v>
      </c>
      <c r="V123" s="1">
        <f t="shared" si="12"/>
        <v>2.1875000000000089E-3</v>
      </c>
      <c r="W123" s="1">
        <f t="shared" si="13"/>
        <v>2.8472222222222232E-3</v>
      </c>
      <c r="X123" s="1">
        <f t="shared" si="14"/>
        <v>7.9513888888889106E-3</v>
      </c>
      <c r="Y123" s="1">
        <f t="shared" si="15"/>
        <v>1.1817129629629664E-2</v>
      </c>
      <c r="Z123" s="1">
        <f t="shared" si="16"/>
        <v>1.649305555555558E-2</v>
      </c>
      <c r="AA123" s="1">
        <f t="shared" si="17"/>
        <v>3.0439814814814392E-3</v>
      </c>
    </row>
    <row r="124" spans="1:27" x14ac:dyDescent="0.25">
      <c r="A124">
        <v>1</v>
      </c>
      <c r="B124" t="s">
        <v>617</v>
      </c>
      <c r="C124" t="s">
        <v>441</v>
      </c>
      <c r="D124">
        <v>2016</v>
      </c>
      <c r="E124" s="1">
        <v>0.61967592592592591</v>
      </c>
      <c r="F124" s="1">
        <v>0.61997685185185181</v>
      </c>
      <c r="G124" s="1">
        <v>0.62435185185185182</v>
      </c>
      <c r="H124" s="1">
        <v>0.63127314814814817</v>
      </c>
      <c r="I124" s="1">
        <v>0.62556712962962968</v>
      </c>
      <c r="J124" s="1">
        <v>0.63392361111111106</v>
      </c>
      <c r="K124" s="1">
        <v>0.64847222222222223</v>
      </c>
      <c r="L124" s="1">
        <v>0.64875000000000005</v>
      </c>
      <c r="M124" s="1">
        <v>0.65298611111111116</v>
      </c>
      <c r="N124" s="1" t="s">
        <v>468</v>
      </c>
      <c r="O124" s="1" t="s">
        <v>34</v>
      </c>
      <c r="P124" s="1" t="s">
        <v>584</v>
      </c>
      <c r="S124" s="1">
        <f t="shared" si="9"/>
        <v>3.0092592592589895E-4</v>
      </c>
      <c r="T124" s="1">
        <f t="shared" si="10"/>
        <v>4.3750000000000178E-3</v>
      </c>
      <c r="U124" s="1">
        <f t="shared" si="11"/>
        <v>1.2152777777778567E-3</v>
      </c>
      <c r="V124" s="1">
        <f t="shared" si="12"/>
        <v>6.921296296296342E-3</v>
      </c>
      <c r="W124" s="1">
        <f t="shared" si="13"/>
        <v>2.6504629629628962E-3</v>
      </c>
      <c r="X124" s="1">
        <f t="shared" si="14"/>
        <v>2.2905092592592546E-2</v>
      </c>
      <c r="Y124" s="1">
        <f t="shared" si="15"/>
        <v>2.4398148148148224E-2</v>
      </c>
      <c r="Z124" s="1">
        <f t="shared" si="16"/>
        <v>3.3310185185185248E-2</v>
      </c>
      <c r="AA124" s="1">
        <f t="shared" si="17"/>
        <v>4.6759259259259167E-3</v>
      </c>
    </row>
    <row r="125" spans="1:27" x14ac:dyDescent="0.25">
      <c r="A125">
        <v>4</v>
      </c>
      <c r="B125" t="s">
        <v>628</v>
      </c>
      <c r="C125" t="s">
        <v>607</v>
      </c>
      <c r="D125">
        <v>2019</v>
      </c>
      <c r="E125" s="1">
        <v>0.61971064814814814</v>
      </c>
      <c r="F125" s="1">
        <v>0.62048611111111107</v>
      </c>
      <c r="G125" s="1">
        <v>0.63166666666666671</v>
      </c>
      <c r="H125" s="1">
        <v>0.64087962962962963</v>
      </c>
      <c r="I125" s="1">
        <v>0.63261574074074078</v>
      </c>
      <c r="J125" s="1">
        <v>0.64425925925925931</v>
      </c>
      <c r="K125" s="1">
        <v>0.64790509259259255</v>
      </c>
      <c r="L125" s="1">
        <v>0.65135416666666668</v>
      </c>
      <c r="M125" s="1">
        <v>0.65202546296296293</v>
      </c>
      <c r="N125" s="1" t="s">
        <v>677</v>
      </c>
      <c r="O125" s="1" t="s">
        <v>34</v>
      </c>
      <c r="P125" s="1" t="s">
        <v>605</v>
      </c>
      <c r="S125" s="1">
        <f t="shared" si="9"/>
        <v>7.7546296296293615E-4</v>
      </c>
      <c r="T125" s="1">
        <f t="shared" si="10"/>
        <v>1.1180555555555638E-2</v>
      </c>
      <c r="U125" s="1">
        <f t="shared" si="11"/>
        <v>9.490740740740744E-4</v>
      </c>
      <c r="V125" s="1">
        <f t="shared" si="12"/>
        <v>9.2129629629629228E-3</v>
      </c>
      <c r="W125" s="1">
        <f t="shared" si="13"/>
        <v>3.3796296296296768E-3</v>
      </c>
      <c r="X125" s="1">
        <f t="shared" si="14"/>
        <v>1.5289351851851762E-2</v>
      </c>
      <c r="Y125" s="1">
        <f t="shared" si="15"/>
        <v>1.9687499999999969E-2</v>
      </c>
      <c r="Z125" s="1">
        <f t="shared" si="16"/>
        <v>3.2314814814814796E-2</v>
      </c>
      <c r="AA125" s="1">
        <f t="shared" si="17"/>
        <v>1.1956018518518574E-2</v>
      </c>
    </row>
    <row r="126" spans="1:27" x14ac:dyDescent="0.25">
      <c r="A126">
        <v>2</v>
      </c>
      <c r="B126" t="s">
        <v>559</v>
      </c>
      <c r="C126" t="s">
        <v>419</v>
      </c>
      <c r="D126">
        <v>2016</v>
      </c>
      <c r="E126" s="1">
        <v>0.66107638888888887</v>
      </c>
      <c r="F126" s="1">
        <v>0.66126157407407404</v>
      </c>
      <c r="G126" s="1">
        <v>0.66204861111111113</v>
      </c>
      <c r="H126" s="1">
        <v>0.66440972222222228</v>
      </c>
      <c r="I126" s="1">
        <v>0.6629976851851852</v>
      </c>
      <c r="J126" s="1">
        <v>0.66569444444444448</v>
      </c>
      <c r="K126" s="1">
        <v>0.66974537037037041</v>
      </c>
      <c r="L126" s="1">
        <v>0.67231481481481481</v>
      </c>
      <c r="M126" s="1">
        <v>0.67318287037037039</v>
      </c>
      <c r="N126" s="1" t="s">
        <v>54</v>
      </c>
      <c r="O126" s="1" t="s">
        <v>34</v>
      </c>
      <c r="P126" s="1" t="s">
        <v>55</v>
      </c>
      <c r="S126" s="1">
        <f t="shared" si="9"/>
        <v>1.8518518518517713E-4</v>
      </c>
      <c r="T126" s="1">
        <f t="shared" si="10"/>
        <v>7.8703703703708605E-4</v>
      </c>
      <c r="U126" s="1">
        <f t="shared" si="11"/>
        <v>9.490740740740744E-4</v>
      </c>
      <c r="V126" s="1">
        <f t="shared" si="12"/>
        <v>2.3611111111111471E-3</v>
      </c>
      <c r="W126" s="1">
        <f t="shared" si="13"/>
        <v>1.284722222222201E-3</v>
      </c>
      <c r="X126" s="1">
        <f t="shared" si="14"/>
        <v>6.7476851851852038E-3</v>
      </c>
      <c r="Y126" s="1">
        <f t="shared" si="15"/>
        <v>1.026620370370368E-2</v>
      </c>
      <c r="Z126" s="1">
        <f t="shared" si="16"/>
        <v>1.2106481481481524E-2</v>
      </c>
      <c r="AA126" s="1">
        <f t="shared" si="17"/>
        <v>9.7222222222226318E-4</v>
      </c>
    </row>
    <row r="127" spans="1:27" x14ac:dyDescent="0.25">
      <c r="A127">
        <v>1</v>
      </c>
      <c r="B127" t="s">
        <v>393</v>
      </c>
      <c r="C127" t="s">
        <v>664</v>
      </c>
      <c r="D127">
        <v>2019</v>
      </c>
      <c r="E127" s="1">
        <v>0.67898148148148152</v>
      </c>
      <c r="F127" s="1">
        <v>0.67923611111111115</v>
      </c>
      <c r="G127" s="1">
        <v>0.68009259259259258</v>
      </c>
      <c r="H127" s="1">
        <v>0.68230324074074078</v>
      </c>
      <c r="I127" s="1">
        <v>0.68093749999999997</v>
      </c>
      <c r="J127" s="1">
        <v>0.68230324074074078</v>
      </c>
      <c r="K127" s="1">
        <v>0.68662037037037038</v>
      </c>
      <c r="L127" s="1">
        <v>0.68837962962962962</v>
      </c>
      <c r="M127" s="1">
        <v>0.7053935185185185</v>
      </c>
      <c r="N127" s="1" t="s">
        <v>678</v>
      </c>
      <c r="O127" s="1" t="s">
        <v>34</v>
      </c>
      <c r="P127" s="1" t="s">
        <v>55</v>
      </c>
      <c r="S127" s="1">
        <f t="shared" si="9"/>
        <v>2.5462962962963243E-4</v>
      </c>
      <c r="T127" s="1">
        <f t="shared" si="10"/>
        <v>8.5648148148143033E-4</v>
      </c>
      <c r="U127" s="1">
        <f t="shared" si="11"/>
        <v>8.4490740740739145E-4</v>
      </c>
      <c r="V127" s="1">
        <f t="shared" si="12"/>
        <v>2.2106481481481977E-3</v>
      </c>
      <c r="W127" s="1">
        <f t="shared" si="13"/>
        <v>0</v>
      </c>
      <c r="X127" s="1">
        <f t="shared" si="14"/>
        <v>5.6828703703704075E-3</v>
      </c>
      <c r="Y127" s="1">
        <f t="shared" si="15"/>
        <v>8.2870370370370372E-3</v>
      </c>
      <c r="Z127" s="1">
        <f t="shared" si="16"/>
        <v>2.6412037037036984E-2</v>
      </c>
      <c r="AA127" s="1">
        <f t="shared" si="17"/>
        <v>1.1111111111110628E-3</v>
      </c>
    </row>
    <row r="128" spans="1:27" x14ac:dyDescent="0.25">
      <c r="A128">
        <v>1</v>
      </c>
      <c r="B128" t="s">
        <v>617</v>
      </c>
      <c r="C128" t="s">
        <v>473</v>
      </c>
      <c r="D128">
        <v>2020</v>
      </c>
      <c r="E128" s="1">
        <v>0.70424768518518521</v>
      </c>
      <c r="F128" s="1">
        <v>0.70475694444444448</v>
      </c>
      <c r="G128" s="1">
        <v>0.70524305555555555</v>
      </c>
      <c r="H128" s="1">
        <v>0.70679398148148154</v>
      </c>
      <c r="I128" s="1">
        <v>0.70584490740740746</v>
      </c>
      <c r="J128" s="1">
        <v>0.70981481481481479</v>
      </c>
      <c r="K128" s="1">
        <v>0.71258101851851852</v>
      </c>
      <c r="L128" s="1">
        <v>0.71333333333333337</v>
      </c>
      <c r="M128" s="1">
        <v>0.71412037037037035</v>
      </c>
      <c r="N128" s="1" t="s">
        <v>343</v>
      </c>
      <c r="O128" s="1" t="s">
        <v>578</v>
      </c>
      <c r="P128" s="1" t="s">
        <v>584</v>
      </c>
      <c r="S128" s="1">
        <f t="shared" si="9"/>
        <v>5.0925925925926485E-4</v>
      </c>
      <c r="T128" s="1">
        <f t="shared" si="10"/>
        <v>4.8611111111107608E-4</v>
      </c>
      <c r="U128" s="1">
        <f t="shared" si="11"/>
        <v>6.0185185185190893E-4</v>
      </c>
      <c r="V128" s="1">
        <f t="shared" si="12"/>
        <v>1.5509259259259833E-3</v>
      </c>
      <c r="W128" s="1">
        <f t="shared" si="13"/>
        <v>3.0208333333332504E-3</v>
      </c>
      <c r="X128" s="1">
        <f t="shared" si="14"/>
        <v>6.7361111111110539E-3</v>
      </c>
      <c r="Y128" s="1">
        <f t="shared" si="15"/>
        <v>8.0902777777778212E-3</v>
      </c>
      <c r="Z128" s="1">
        <f t="shared" si="16"/>
        <v>9.8726851851851372E-3</v>
      </c>
      <c r="AA128" s="1">
        <f t="shared" si="17"/>
        <v>9.9537037037034093E-4</v>
      </c>
    </row>
    <row r="129" spans="1:27" x14ac:dyDescent="0.25">
      <c r="A129">
        <v>3</v>
      </c>
      <c r="B129" t="s">
        <v>560</v>
      </c>
      <c r="C129" t="s">
        <v>699</v>
      </c>
      <c r="D129">
        <v>2014</v>
      </c>
      <c r="E129" s="1">
        <v>0.44677083333333334</v>
      </c>
      <c r="F129" s="1">
        <v>0.44699074074074074</v>
      </c>
      <c r="G129" s="1">
        <v>0.44806712962962963</v>
      </c>
      <c r="H129" s="1">
        <v>0.45165509259259257</v>
      </c>
      <c r="I129" s="1">
        <v>0.44990740740740742</v>
      </c>
      <c r="J129" s="1">
        <v>0.4533564814814815</v>
      </c>
      <c r="K129" s="1">
        <v>0.46046296296296296</v>
      </c>
      <c r="L129" s="1">
        <v>0.46148148148148149</v>
      </c>
      <c r="M129" s="1">
        <v>0.46276620370370369</v>
      </c>
      <c r="N129" s="1" t="s">
        <v>343</v>
      </c>
      <c r="O129" s="1" t="s">
        <v>34</v>
      </c>
      <c r="P129" s="1" t="s">
        <v>55</v>
      </c>
      <c r="S129" s="1">
        <f t="shared" si="9"/>
        <v>2.1990740740740478E-4</v>
      </c>
      <c r="T129" s="1">
        <f t="shared" si="10"/>
        <v>1.0763888888888906E-3</v>
      </c>
      <c r="U129" s="1">
        <f t="shared" si="11"/>
        <v>1.8402777777777879E-3</v>
      </c>
      <c r="V129" s="1">
        <f t="shared" si="12"/>
        <v>3.5879629629629317E-3</v>
      </c>
      <c r="W129" s="1">
        <f t="shared" si="13"/>
        <v>1.7013888888889328E-3</v>
      </c>
      <c r="X129" s="1">
        <f t="shared" si="14"/>
        <v>1.055555555555554E-2</v>
      </c>
      <c r="Y129" s="1">
        <f t="shared" si="15"/>
        <v>1.3414351851851858E-2</v>
      </c>
      <c r="Z129" s="1">
        <f t="shared" si="16"/>
        <v>1.5995370370370354E-2</v>
      </c>
      <c r="AA129" s="1">
        <f t="shared" si="17"/>
        <v>1.2962962962962954E-3</v>
      </c>
    </row>
    <row r="130" spans="1:27" x14ac:dyDescent="0.25">
      <c r="A130">
        <v>2</v>
      </c>
      <c r="B130" t="s">
        <v>687</v>
      </c>
      <c r="C130" t="s">
        <v>474</v>
      </c>
      <c r="D130">
        <v>2023</v>
      </c>
      <c r="E130" s="1">
        <v>0.45598379629629632</v>
      </c>
      <c r="F130" s="1">
        <v>0.4561574074074074</v>
      </c>
      <c r="G130" s="1">
        <v>0.45729166666666665</v>
      </c>
      <c r="H130" s="1">
        <v>0.46199074074074076</v>
      </c>
      <c r="I130" s="1">
        <v>0.45844907407407409</v>
      </c>
      <c r="J130" s="1">
        <v>0.46383101851851855</v>
      </c>
      <c r="K130" s="1">
        <v>0.47416666666666668</v>
      </c>
      <c r="L130" s="1">
        <v>0.47437499999999999</v>
      </c>
      <c r="M130" s="1">
        <v>0.47488425925925926</v>
      </c>
      <c r="N130" s="1" t="s">
        <v>343</v>
      </c>
      <c r="O130" s="1" t="s">
        <v>555</v>
      </c>
      <c r="P130" s="1" t="s">
        <v>55</v>
      </c>
      <c r="S130" s="1">
        <f t="shared" si="9"/>
        <v>1.7361111111108274E-4</v>
      </c>
      <c r="T130" s="1">
        <f t="shared" si="10"/>
        <v>1.1342592592592515E-3</v>
      </c>
      <c r="U130" s="1">
        <f t="shared" si="11"/>
        <v>1.1574074074074403E-3</v>
      </c>
      <c r="V130" s="1">
        <f t="shared" si="12"/>
        <v>4.6990740740741055E-3</v>
      </c>
      <c r="W130" s="1">
        <f t="shared" si="13"/>
        <v>1.8402777777777879E-3</v>
      </c>
      <c r="X130" s="1">
        <f t="shared" si="14"/>
        <v>1.5717592592592589E-2</v>
      </c>
      <c r="Y130" s="1">
        <f t="shared" si="15"/>
        <v>1.7083333333333339E-2</v>
      </c>
      <c r="Z130" s="1">
        <f t="shared" si="16"/>
        <v>1.8900462962962938E-2</v>
      </c>
      <c r="AA130" s="1">
        <f t="shared" si="17"/>
        <v>1.3078703703703343E-3</v>
      </c>
    </row>
    <row r="131" spans="1:27" x14ac:dyDescent="0.25">
      <c r="A131">
        <v>3</v>
      </c>
      <c r="B131" t="s">
        <v>559</v>
      </c>
      <c r="C131" t="s">
        <v>686</v>
      </c>
      <c r="D131">
        <v>2024</v>
      </c>
      <c r="E131" s="1">
        <v>0.45986111111111111</v>
      </c>
      <c r="F131" s="1">
        <v>0.46064814814814814</v>
      </c>
      <c r="G131" s="1">
        <v>0.46416666666666667</v>
      </c>
      <c r="H131" s="1">
        <v>0.46754629629629629</v>
      </c>
      <c r="I131" s="1">
        <v>0.46545138888888887</v>
      </c>
      <c r="J131" s="1">
        <v>0.46908564814814813</v>
      </c>
      <c r="K131" s="1">
        <v>0.48538194444444444</v>
      </c>
      <c r="L131" s="1">
        <v>0.50359953703703708</v>
      </c>
      <c r="M131" s="1">
        <v>0.50484953703703705</v>
      </c>
      <c r="N131" s="1" t="s">
        <v>476</v>
      </c>
      <c r="O131" s="1" t="s">
        <v>555</v>
      </c>
      <c r="P131" s="1" t="s">
        <v>55</v>
      </c>
      <c r="S131" s="1">
        <f t="shared" ref="S131:S194" si="18">F131-E131</f>
        <v>7.8703703703703054E-4</v>
      </c>
      <c r="T131" s="1">
        <f t="shared" ref="T131:T194" si="19">G131-F131</f>
        <v>3.5185185185185319E-3</v>
      </c>
      <c r="U131" s="1">
        <f t="shared" ref="U131:U194" si="20">I131-G131</f>
        <v>1.284722222222201E-3</v>
      </c>
      <c r="V131" s="1">
        <f t="shared" ref="V131:V194" si="21">H131-G131</f>
        <v>3.3796296296296213E-3</v>
      </c>
      <c r="W131" s="1">
        <f t="shared" ref="W131:W194" si="22">J131-H131</f>
        <v>1.5393518518518334E-3</v>
      </c>
      <c r="X131" s="1">
        <f t="shared" ref="X131:X194" si="23">K131-I131</f>
        <v>1.9930555555555562E-2</v>
      </c>
      <c r="Y131" s="1">
        <f t="shared" ref="Y131:Y194" si="24">L131-G131</f>
        <v>3.943287037037041E-2</v>
      </c>
      <c r="Z131" s="1">
        <f t="shared" ref="Z131:Z194" si="25">M131-E131</f>
        <v>4.4988425925925946E-2</v>
      </c>
      <c r="AA131" s="1">
        <f t="shared" ref="AA131:AA194" si="26">T131+S131</f>
        <v>4.3055555555555625E-3</v>
      </c>
    </row>
    <row r="132" spans="1:27" x14ac:dyDescent="0.25">
      <c r="A132">
        <v>4</v>
      </c>
      <c r="B132" t="s">
        <v>359</v>
      </c>
      <c r="C132" t="s">
        <v>651</v>
      </c>
      <c r="D132">
        <v>2021</v>
      </c>
      <c r="E132" s="1">
        <v>0.46377314814814813</v>
      </c>
      <c r="F132" s="1">
        <v>0.46387731481481481</v>
      </c>
      <c r="G132" s="1">
        <v>0.46754629629629629</v>
      </c>
      <c r="H132" s="1">
        <v>0.47643518518518518</v>
      </c>
      <c r="I132" s="1">
        <v>0.46832175925925928</v>
      </c>
      <c r="J132" s="1">
        <v>0.47878472222222224</v>
      </c>
      <c r="K132" s="1">
        <v>0.48770833333333335</v>
      </c>
      <c r="L132" s="1">
        <v>0.48954861111111109</v>
      </c>
      <c r="M132" s="1">
        <v>0.49108796296296298</v>
      </c>
      <c r="N132" s="1" t="s">
        <v>679</v>
      </c>
      <c r="O132" s="1" t="s">
        <v>578</v>
      </c>
      <c r="P132" s="1" t="s">
        <v>55</v>
      </c>
      <c r="S132" s="1">
        <f t="shared" si="18"/>
        <v>1.0416666666668295E-4</v>
      </c>
      <c r="T132" s="1">
        <f t="shared" si="19"/>
        <v>3.6689814814814814E-3</v>
      </c>
      <c r="U132" s="1">
        <f t="shared" si="20"/>
        <v>7.7546296296299166E-4</v>
      </c>
      <c r="V132" s="1">
        <f t="shared" si="21"/>
        <v>8.8888888888888906E-3</v>
      </c>
      <c r="W132" s="1">
        <f t="shared" si="22"/>
        <v>2.3495370370370527E-3</v>
      </c>
      <c r="X132" s="1">
        <f t="shared" si="23"/>
        <v>1.938657407407407E-2</v>
      </c>
      <c r="Y132" s="1">
        <f t="shared" si="24"/>
        <v>2.2002314814814794E-2</v>
      </c>
      <c r="Z132" s="1">
        <f t="shared" si="25"/>
        <v>2.7314814814814847E-2</v>
      </c>
      <c r="AA132" s="1">
        <f t="shared" si="26"/>
        <v>3.7731481481481643E-3</v>
      </c>
    </row>
    <row r="133" spans="1:27" x14ac:dyDescent="0.25">
      <c r="A133">
        <v>2</v>
      </c>
      <c r="B133" t="s">
        <v>585</v>
      </c>
      <c r="C133" t="s">
        <v>32</v>
      </c>
      <c r="D133">
        <v>2020</v>
      </c>
      <c r="E133" s="1">
        <v>0.47843750000000002</v>
      </c>
      <c r="F133" s="1">
        <v>0.47854166666666664</v>
      </c>
      <c r="G133" s="1">
        <v>0.48615740740740743</v>
      </c>
      <c r="H133" s="1">
        <v>0.48946759259259259</v>
      </c>
      <c r="I133" s="1">
        <v>0.48712962962962963</v>
      </c>
      <c r="J133" s="1">
        <v>0.49184027777777778</v>
      </c>
      <c r="K133" s="1">
        <v>0.49604166666666666</v>
      </c>
      <c r="L133" s="1">
        <v>0.49655092592592592</v>
      </c>
      <c r="M133" s="1">
        <v>0.49739583333333331</v>
      </c>
      <c r="N133" s="1" t="s">
        <v>54</v>
      </c>
      <c r="O133" s="1" t="s">
        <v>34</v>
      </c>
      <c r="P133" s="1" t="s">
        <v>169</v>
      </c>
      <c r="S133" s="1">
        <f t="shared" si="18"/>
        <v>1.0416666666662744E-4</v>
      </c>
      <c r="T133" s="1">
        <f t="shared" si="19"/>
        <v>7.615740740740784E-3</v>
      </c>
      <c r="U133" s="1">
        <f t="shared" si="20"/>
        <v>9.7222222222220767E-4</v>
      </c>
      <c r="V133" s="1">
        <f t="shared" si="21"/>
        <v>3.310185185185166E-3</v>
      </c>
      <c r="W133" s="1">
        <f t="shared" si="22"/>
        <v>2.372685185185186E-3</v>
      </c>
      <c r="X133" s="1">
        <f t="shared" si="23"/>
        <v>8.9120370370370239E-3</v>
      </c>
      <c r="Y133" s="1">
        <f t="shared" si="24"/>
        <v>1.0393518518518496E-2</v>
      </c>
      <c r="Z133" s="1">
        <f t="shared" si="25"/>
        <v>1.8958333333333299E-2</v>
      </c>
      <c r="AA133" s="1">
        <f t="shared" si="26"/>
        <v>7.7199074074074114E-3</v>
      </c>
    </row>
    <row r="134" spans="1:27" x14ac:dyDescent="0.25">
      <c r="A134">
        <v>2</v>
      </c>
      <c r="B134" t="s">
        <v>8</v>
      </c>
      <c r="C134" t="s">
        <v>629</v>
      </c>
      <c r="D134">
        <v>2012</v>
      </c>
      <c r="E134" s="1">
        <v>0.49840277777777775</v>
      </c>
      <c r="F134" s="1">
        <v>0.49875000000000003</v>
      </c>
      <c r="G134" s="1">
        <v>0.49949074074074074</v>
      </c>
      <c r="H134" s="1">
        <v>0.50408564814814816</v>
      </c>
      <c r="I134" s="1">
        <v>0.50105324074074076</v>
      </c>
      <c r="J134" s="1">
        <v>0.50578703703703709</v>
      </c>
      <c r="K134" s="1">
        <v>0.50839120370370372</v>
      </c>
      <c r="L134" s="1">
        <v>0.50877314814814811</v>
      </c>
      <c r="M134" s="1">
        <v>0.50932870370370376</v>
      </c>
      <c r="N134" s="1" t="s">
        <v>54</v>
      </c>
      <c r="O134" s="1" t="s">
        <v>578</v>
      </c>
      <c r="P134" s="1" t="s">
        <v>55</v>
      </c>
      <c r="S134" s="1">
        <f t="shared" si="18"/>
        <v>3.472222222222765E-4</v>
      </c>
      <c r="T134" s="1">
        <f t="shared" si="19"/>
        <v>7.407407407407085E-4</v>
      </c>
      <c r="U134" s="1">
        <f t="shared" si="20"/>
        <v>1.5625000000000222E-3</v>
      </c>
      <c r="V134" s="1">
        <f t="shared" si="21"/>
        <v>4.5949074074074225E-3</v>
      </c>
      <c r="W134" s="1">
        <f t="shared" si="22"/>
        <v>1.7013888888889328E-3</v>
      </c>
      <c r="X134" s="1">
        <f t="shared" si="23"/>
        <v>7.3379629629629628E-3</v>
      </c>
      <c r="Y134" s="1">
        <f t="shared" si="24"/>
        <v>9.2824074074073781E-3</v>
      </c>
      <c r="Z134" s="1">
        <f t="shared" si="25"/>
        <v>1.0925925925926006E-2</v>
      </c>
      <c r="AA134" s="1">
        <f t="shared" si="26"/>
        <v>1.087962962962985E-3</v>
      </c>
    </row>
    <row r="135" spans="1:27" x14ac:dyDescent="0.25">
      <c r="A135">
        <v>3</v>
      </c>
      <c r="B135" t="s">
        <v>559</v>
      </c>
      <c r="C135" t="s">
        <v>704</v>
      </c>
      <c r="D135">
        <v>2014</v>
      </c>
      <c r="E135" s="1">
        <v>0.50309027777777782</v>
      </c>
      <c r="F135" s="1">
        <v>0.50328703703703703</v>
      </c>
      <c r="G135" s="1">
        <v>0.5043981481481481</v>
      </c>
      <c r="H135" s="1">
        <v>0.50792824074074072</v>
      </c>
      <c r="I135" s="1">
        <v>0.50574074074074071</v>
      </c>
      <c r="J135" s="1">
        <v>0.51103009259259258</v>
      </c>
      <c r="K135" s="1">
        <v>0.51806712962962964</v>
      </c>
      <c r="L135" s="1">
        <v>0.51873842592592589</v>
      </c>
      <c r="M135" s="1">
        <v>0.52059027777777778</v>
      </c>
      <c r="N135" s="1" t="s">
        <v>54</v>
      </c>
      <c r="O135" s="1" t="s">
        <v>578</v>
      </c>
      <c r="P135" s="1" t="s">
        <v>55</v>
      </c>
      <c r="S135" s="1">
        <f t="shared" si="18"/>
        <v>1.96759259259216E-4</v>
      </c>
      <c r="T135" s="1">
        <f t="shared" si="19"/>
        <v>1.1111111111110628E-3</v>
      </c>
      <c r="U135" s="1">
        <f t="shared" si="20"/>
        <v>1.3425925925926174E-3</v>
      </c>
      <c r="V135" s="1">
        <f t="shared" si="21"/>
        <v>3.5300925925926263E-3</v>
      </c>
      <c r="W135" s="1">
        <f t="shared" si="22"/>
        <v>3.1018518518518556E-3</v>
      </c>
      <c r="X135" s="1">
        <f t="shared" si="23"/>
        <v>1.2326388888888928E-2</v>
      </c>
      <c r="Y135" s="1">
        <f t="shared" si="24"/>
        <v>1.4340277777777799E-2</v>
      </c>
      <c r="Z135" s="1">
        <f t="shared" si="25"/>
        <v>1.749999999999996E-2</v>
      </c>
      <c r="AA135" s="1">
        <f t="shared" si="26"/>
        <v>1.3078703703702788E-3</v>
      </c>
    </row>
    <row r="136" spans="1:27" x14ac:dyDescent="0.25">
      <c r="A136">
        <v>4</v>
      </c>
      <c r="B136" t="s">
        <v>618</v>
      </c>
      <c r="C136" t="s">
        <v>630</v>
      </c>
      <c r="D136">
        <v>2025</v>
      </c>
      <c r="E136" s="1">
        <v>0.39371527777777776</v>
      </c>
      <c r="F136" s="1">
        <v>0.39391203703703703</v>
      </c>
      <c r="G136" s="1">
        <v>0.39445601851851853</v>
      </c>
      <c r="H136" s="1">
        <v>0.39604166666666668</v>
      </c>
      <c r="I136" s="1">
        <v>0.39497685185185183</v>
      </c>
      <c r="J136" s="1">
        <v>0.3972222222222222</v>
      </c>
      <c r="K136" s="1">
        <v>0.40085648148148151</v>
      </c>
      <c r="L136" s="1">
        <v>0.40569444444444447</v>
      </c>
      <c r="M136" s="1">
        <v>0.40645833333333331</v>
      </c>
      <c r="N136" s="1" t="s">
        <v>482</v>
      </c>
      <c r="O136" s="1" t="s">
        <v>34</v>
      </c>
      <c r="P136" s="1" t="s">
        <v>169</v>
      </c>
      <c r="S136" s="1">
        <f t="shared" si="18"/>
        <v>1.9675925925927151E-4</v>
      </c>
      <c r="T136" s="1">
        <f t="shared" si="19"/>
        <v>5.439814814814925E-4</v>
      </c>
      <c r="U136" s="1">
        <f t="shared" si="20"/>
        <v>5.2083333333330373E-4</v>
      </c>
      <c r="V136" s="1">
        <f t="shared" si="21"/>
        <v>1.5856481481481555E-3</v>
      </c>
      <c r="W136" s="1">
        <f t="shared" si="22"/>
        <v>1.1805555555555181E-3</v>
      </c>
      <c r="X136" s="1">
        <f t="shared" si="23"/>
        <v>5.8796296296296791E-3</v>
      </c>
      <c r="Y136" s="1">
        <f t="shared" si="24"/>
        <v>1.1238425925925943E-2</v>
      </c>
      <c r="Z136" s="1">
        <f t="shared" si="25"/>
        <v>1.2743055555555549E-2</v>
      </c>
      <c r="AA136" s="1">
        <f t="shared" si="26"/>
        <v>7.4074074074076401E-4</v>
      </c>
    </row>
    <row r="137" spans="1:27" x14ac:dyDescent="0.25">
      <c r="A137">
        <v>1</v>
      </c>
      <c r="B137" t="s">
        <v>617</v>
      </c>
      <c r="C137" t="s">
        <v>483</v>
      </c>
      <c r="D137">
        <v>2021</v>
      </c>
      <c r="E137" s="1">
        <v>0.40790509259259261</v>
      </c>
      <c r="F137" s="1">
        <v>0.40810185185185183</v>
      </c>
      <c r="G137" s="1">
        <v>0.40909722222222222</v>
      </c>
      <c r="H137" s="1">
        <v>0.41087962962962965</v>
      </c>
      <c r="I137" s="1">
        <v>0.40982638888888889</v>
      </c>
      <c r="J137" s="1">
        <v>0.41493055555555558</v>
      </c>
      <c r="K137" s="1">
        <v>0.41511574074074076</v>
      </c>
      <c r="L137" s="1">
        <v>0.41559027777777779</v>
      </c>
      <c r="M137" s="1">
        <v>0.41672453703703705</v>
      </c>
      <c r="N137" s="1" t="s">
        <v>431</v>
      </c>
      <c r="O137" s="1" t="s">
        <v>34</v>
      </c>
      <c r="P137" s="1" t="s">
        <v>584</v>
      </c>
      <c r="S137" s="1">
        <f t="shared" si="18"/>
        <v>1.96759259259216E-4</v>
      </c>
      <c r="T137" s="1">
        <f t="shared" si="19"/>
        <v>9.9537037037039644E-4</v>
      </c>
      <c r="U137" s="1">
        <f t="shared" si="20"/>
        <v>7.2916666666666963E-4</v>
      </c>
      <c r="V137" s="1">
        <f t="shared" si="21"/>
        <v>1.782407407407427E-3</v>
      </c>
      <c r="W137" s="1">
        <f t="shared" si="22"/>
        <v>4.05092592592593E-3</v>
      </c>
      <c r="X137" s="1">
        <f t="shared" si="23"/>
        <v>5.2893518518518645E-3</v>
      </c>
      <c r="Y137" s="1">
        <f t="shared" si="24"/>
        <v>6.4930555555555713E-3</v>
      </c>
      <c r="Z137" s="1">
        <f t="shared" si="25"/>
        <v>8.8194444444444353E-3</v>
      </c>
      <c r="AA137" s="1">
        <f t="shared" si="26"/>
        <v>1.1921296296296124E-3</v>
      </c>
    </row>
    <row r="138" spans="1:27" x14ac:dyDescent="0.25">
      <c r="A138">
        <v>2</v>
      </c>
      <c r="B138" t="s">
        <v>8</v>
      </c>
      <c r="C138" t="s">
        <v>239</v>
      </c>
      <c r="D138">
        <v>2016</v>
      </c>
      <c r="E138" s="1">
        <v>0.41241898148148148</v>
      </c>
      <c r="F138" s="1">
        <v>0.41260416666666666</v>
      </c>
      <c r="G138" s="1">
        <v>0.41322916666666665</v>
      </c>
      <c r="H138" s="1">
        <v>0.41591435185185183</v>
      </c>
      <c r="I138" s="1">
        <v>0.41446759259259258</v>
      </c>
      <c r="J138" s="1">
        <v>0.41859953703703706</v>
      </c>
      <c r="K138" s="1">
        <v>0.42162037037037037</v>
      </c>
      <c r="L138" s="1">
        <v>0.42207175925925927</v>
      </c>
      <c r="M138" s="1">
        <v>0.42303240740740738</v>
      </c>
      <c r="N138" s="1" t="s">
        <v>333</v>
      </c>
      <c r="O138" s="1" t="s">
        <v>34</v>
      </c>
      <c r="P138" s="1" t="s">
        <v>55</v>
      </c>
      <c r="S138" s="1">
        <f t="shared" si="18"/>
        <v>1.8518518518517713E-4</v>
      </c>
      <c r="T138" s="1">
        <f t="shared" si="19"/>
        <v>6.2499999999998668E-4</v>
      </c>
      <c r="U138" s="1">
        <f t="shared" si="20"/>
        <v>1.2384259259259345E-3</v>
      </c>
      <c r="V138" s="1">
        <f t="shared" si="21"/>
        <v>2.6851851851851793E-3</v>
      </c>
      <c r="W138" s="1">
        <f t="shared" si="22"/>
        <v>2.6851851851852349E-3</v>
      </c>
      <c r="X138" s="1">
        <f t="shared" si="23"/>
        <v>7.1527777777777857E-3</v>
      </c>
      <c r="Y138" s="1">
        <f t="shared" si="24"/>
        <v>8.8425925925926241E-3</v>
      </c>
      <c r="Z138" s="1">
        <f t="shared" si="25"/>
        <v>1.0613425925925901E-2</v>
      </c>
      <c r="AA138" s="1">
        <f t="shared" si="26"/>
        <v>8.101851851851638E-4</v>
      </c>
    </row>
    <row r="139" spans="1:27" x14ac:dyDescent="0.25">
      <c r="A139">
        <v>2</v>
      </c>
      <c r="B139" t="s">
        <v>561</v>
      </c>
      <c r="C139" t="s">
        <v>631</v>
      </c>
      <c r="D139">
        <v>2024</v>
      </c>
      <c r="E139" s="1">
        <v>0.43744212962962964</v>
      </c>
      <c r="F139" s="1">
        <v>0.43785879629629632</v>
      </c>
      <c r="G139" s="1">
        <v>0.43877314814814816</v>
      </c>
      <c r="H139" s="1">
        <v>0.44112268518518516</v>
      </c>
      <c r="I139" s="1">
        <v>0.43929398148148147</v>
      </c>
      <c r="J139" s="1">
        <v>0.44184027777777779</v>
      </c>
      <c r="K139" s="1">
        <v>0.44527777777777777</v>
      </c>
      <c r="L139" s="1">
        <v>0.44578703703703704</v>
      </c>
      <c r="M139" s="1">
        <v>0.44605324074074076</v>
      </c>
      <c r="N139" s="1" t="s">
        <v>343</v>
      </c>
      <c r="O139" s="1" t="s">
        <v>555</v>
      </c>
      <c r="P139" s="1" t="s">
        <v>55</v>
      </c>
      <c r="S139" s="1">
        <f t="shared" si="18"/>
        <v>4.1666666666667629E-4</v>
      </c>
      <c r="T139" s="1">
        <f t="shared" si="19"/>
        <v>9.1435185185184675E-4</v>
      </c>
      <c r="U139" s="1">
        <f t="shared" si="20"/>
        <v>5.2083333333330373E-4</v>
      </c>
      <c r="V139" s="1">
        <f t="shared" si="21"/>
        <v>2.3495370370369972E-3</v>
      </c>
      <c r="W139" s="1">
        <f t="shared" si="22"/>
        <v>7.1759259259263075E-4</v>
      </c>
      <c r="X139" s="1">
        <f t="shared" si="23"/>
        <v>5.9837962962963065E-3</v>
      </c>
      <c r="Y139" s="1">
        <f t="shared" si="24"/>
        <v>7.0138888888888751E-3</v>
      </c>
      <c r="Z139" s="1">
        <f t="shared" si="25"/>
        <v>8.6111111111111249E-3</v>
      </c>
      <c r="AA139" s="1">
        <f t="shared" si="26"/>
        <v>1.331018518518523E-3</v>
      </c>
    </row>
    <row r="140" spans="1:27" x14ac:dyDescent="0.25">
      <c r="A140">
        <v>4</v>
      </c>
      <c r="B140" t="s">
        <v>561</v>
      </c>
      <c r="C140" t="s">
        <v>657</v>
      </c>
      <c r="D140">
        <v>2023</v>
      </c>
      <c r="E140" s="1">
        <v>0.4428125</v>
      </c>
      <c r="F140" s="1">
        <v>0.44293981481481481</v>
      </c>
      <c r="G140" s="1">
        <v>0.44353009259259257</v>
      </c>
      <c r="H140" s="1">
        <v>0.44608796296296294</v>
      </c>
      <c r="I140" s="1">
        <v>0.44460648148148146</v>
      </c>
      <c r="J140" s="1">
        <v>0.44767361111111109</v>
      </c>
      <c r="K140" s="1">
        <v>0.45097222222222222</v>
      </c>
      <c r="L140" s="1">
        <v>0.45484953703703701</v>
      </c>
      <c r="M140" s="1">
        <v>0.45543981481481483</v>
      </c>
      <c r="N140" s="1" t="s">
        <v>486</v>
      </c>
      <c r="O140" s="1" t="s">
        <v>34</v>
      </c>
      <c r="P140" s="1" t="s">
        <v>55</v>
      </c>
      <c r="S140" s="1">
        <f t="shared" si="18"/>
        <v>1.2731481481481621E-4</v>
      </c>
      <c r="T140" s="1">
        <f t="shared" si="19"/>
        <v>5.9027777777775903E-4</v>
      </c>
      <c r="U140" s="1">
        <f t="shared" si="20"/>
        <v>1.0763888888888906E-3</v>
      </c>
      <c r="V140" s="1">
        <f t="shared" si="21"/>
        <v>2.5578703703703631E-3</v>
      </c>
      <c r="W140" s="1">
        <f t="shared" si="22"/>
        <v>1.5856481481481555E-3</v>
      </c>
      <c r="X140" s="1">
        <f t="shared" si="23"/>
        <v>6.3657407407407551E-3</v>
      </c>
      <c r="Y140" s="1">
        <f t="shared" si="24"/>
        <v>1.1319444444444438E-2</v>
      </c>
      <c r="Z140" s="1">
        <f t="shared" si="25"/>
        <v>1.2627314814814827E-2</v>
      </c>
      <c r="AA140" s="1">
        <f t="shared" si="26"/>
        <v>7.1759259259257524E-4</v>
      </c>
    </row>
    <row r="141" spans="1:27" x14ac:dyDescent="0.25">
      <c r="A141">
        <v>1</v>
      </c>
      <c r="B141" t="s">
        <v>615</v>
      </c>
      <c r="C141" t="s">
        <v>417</v>
      </c>
      <c r="D141">
        <v>2023</v>
      </c>
      <c r="E141" s="1">
        <v>0.45295138888888886</v>
      </c>
      <c r="F141" s="1">
        <v>0.45310185185185187</v>
      </c>
      <c r="G141" s="1">
        <v>0.45553240740740741</v>
      </c>
      <c r="H141" s="1">
        <v>0.45741898148148147</v>
      </c>
      <c r="I141" s="1">
        <v>0.45621527777777776</v>
      </c>
      <c r="J141" s="1">
        <v>0.45968750000000003</v>
      </c>
      <c r="K141" s="1">
        <v>0.4649652777777778</v>
      </c>
      <c r="L141" s="1">
        <v>0.48072916666666665</v>
      </c>
      <c r="M141" s="1">
        <v>0.48172453703703705</v>
      </c>
      <c r="N141" s="1" t="s">
        <v>487</v>
      </c>
      <c r="O141" s="1" t="s">
        <v>34</v>
      </c>
      <c r="P141" s="1" t="s">
        <v>169</v>
      </c>
      <c r="S141" s="1">
        <f t="shared" si="18"/>
        <v>1.5046296296300499E-4</v>
      </c>
      <c r="T141" s="1">
        <f t="shared" si="19"/>
        <v>2.4305555555555469E-3</v>
      </c>
      <c r="U141" s="1">
        <f t="shared" si="20"/>
        <v>6.8287037037034759E-4</v>
      </c>
      <c r="V141" s="1">
        <f t="shared" si="21"/>
        <v>1.8865740740740544E-3</v>
      </c>
      <c r="W141" s="1">
        <f t="shared" si="22"/>
        <v>2.2685185185185586E-3</v>
      </c>
      <c r="X141" s="1">
        <f t="shared" si="23"/>
        <v>8.7500000000000355E-3</v>
      </c>
      <c r="Y141" s="1">
        <f t="shared" si="24"/>
        <v>2.5196759259259238E-2</v>
      </c>
      <c r="Z141" s="1">
        <f t="shared" si="25"/>
        <v>2.8773148148148187E-2</v>
      </c>
      <c r="AA141" s="1">
        <f t="shared" si="26"/>
        <v>2.5810185185185519E-3</v>
      </c>
    </row>
    <row r="142" spans="1:27" x14ac:dyDescent="0.25">
      <c r="A142">
        <v>2</v>
      </c>
      <c r="B142" t="s">
        <v>615</v>
      </c>
      <c r="C142" t="s">
        <v>417</v>
      </c>
      <c r="D142">
        <v>2014</v>
      </c>
      <c r="E142" s="1">
        <v>0.45744212962962966</v>
      </c>
      <c r="F142" s="1">
        <v>0.45763888888888887</v>
      </c>
      <c r="G142" s="1">
        <v>0.45853009259259259</v>
      </c>
      <c r="H142" s="1">
        <v>0.46151620370370372</v>
      </c>
      <c r="I142" s="1">
        <v>0.45935185185185184</v>
      </c>
      <c r="J142" s="1">
        <v>0.46429398148148149</v>
      </c>
      <c r="K142" s="1">
        <v>0.48078703703703701</v>
      </c>
      <c r="L142" s="1">
        <v>0.48650462962962965</v>
      </c>
      <c r="M142" s="1">
        <v>0.48859953703703701</v>
      </c>
      <c r="N142" s="1" t="s">
        <v>488</v>
      </c>
      <c r="O142" s="1" t="s">
        <v>34</v>
      </c>
      <c r="P142" s="1" t="s">
        <v>169</v>
      </c>
      <c r="S142" s="1">
        <f t="shared" si="18"/>
        <v>1.96759259259216E-4</v>
      </c>
      <c r="T142" s="1">
        <f t="shared" si="19"/>
        <v>8.9120370370371349E-4</v>
      </c>
      <c r="U142" s="1">
        <f t="shared" si="20"/>
        <v>8.2175925925925819E-4</v>
      </c>
      <c r="V142" s="1">
        <f t="shared" si="21"/>
        <v>2.9861111111111338E-3</v>
      </c>
      <c r="W142" s="1">
        <f t="shared" si="22"/>
        <v>2.7777777777777679E-3</v>
      </c>
      <c r="X142" s="1">
        <f t="shared" si="23"/>
        <v>2.1435185185185168E-2</v>
      </c>
      <c r="Y142" s="1">
        <f t="shared" si="24"/>
        <v>2.7974537037037062E-2</v>
      </c>
      <c r="Z142" s="1">
        <f t="shared" si="25"/>
        <v>3.1157407407407356E-2</v>
      </c>
      <c r="AA142" s="1">
        <f t="shared" si="26"/>
        <v>1.0879629629629295E-3</v>
      </c>
    </row>
    <row r="143" spans="1:27" x14ac:dyDescent="0.25">
      <c r="A143">
        <v>3</v>
      </c>
      <c r="B143" t="s">
        <v>565</v>
      </c>
      <c r="C143" t="s">
        <v>632</v>
      </c>
      <c r="D143">
        <v>2005</v>
      </c>
      <c r="E143" s="1">
        <v>0.4626736111111111</v>
      </c>
      <c r="F143" s="1">
        <v>0.46276620370370369</v>
      </c>
      <c r="G143" s="1">
        <v>0.46398148148148149</v>
      </c>
      <c r="H143" s="1">
        <v>0.47120370370370368</v>
      </c>
      <c r="I143" s="1">
        <v>0.46534722222222225</v>
      </c>
      <c r="J143" s="1">
        <v>0.4745138888888889</v>
      </c>
      <c r="K143" s="1">
        <v>0.4788310185185185</v>
      </c>
      <c r="L143" s="1">
        <v>0.47917824074074072</v>
      </c>
      <c r="M143" s="1">
        <v>0.48020833333333335</v>
      </c>
      <c r="N143" s="1" t="s">
        <v>343</v>
      </c>
      <c r="O143" s="1" t="s">
        <v>34</v>
      </c>
      <c r="P143" s="1" t="s">
        <v>55</v>
      </c>
      <c r="S143" s="1">
        <f t="shared" si="18"/>
        <v>9.2592592592588563E-5</v>
      </c>
      <c r="T143" s="1">
        <f t="shared" si="19"/>
        <v>1.2152777777778012E-3</v>
      </c>
      <c r="U143" s="1">
        <f t="shared" si="20"/>
        <v>1.3657407407407507E-3</v>
      </c>
      <c r="V143" s="1">
        <f t="shared" si="21"/>
        <v>7.2222222222221855E-3</v>
      </c>
      <c r="W143" s="1">
        <f t="shared" si="22"/>
        <v>3.3101851851852215E-3</v>
      </c>
      <c r="X143" s="1">
        <f t="shared" si="23"/>
        <v>1.3483796296296258E-2</v>
      </c>
      <c r="Y143" s="1">
        <f t="shared" si="24"/>
        <v>1.5196759259259229E-2</v>
      </c>
      <c r="Z143" s="1">
        <f t="shared" si="25"/>
        <v>1.7534722222222243E-2</v>
      </c>
      <c r="AA143" s="1">
        <f t="shared" si="26"/>
        <v>1.3078703703703898E-3</v>
      </c>
    </row>
    <row r="144" spans="1:27" x14ac:dyDescent="0.25">
      <c r="A144">
        <v>4</v>
      </c>
      <c r="B144" t="s">
        <v>393</v>
      </c>
      <c r="C144" t="s">
        <v>239</v>
      </c>
      <c r="D144">
        <v>2025</v>
      </c>
      <c r="E144" s="1">
        <v>0.46273148148148147</v>
      </c>
      <c r="F144" s="1">
        <v>0.46318287037037037</v>
      </c>
      <c r="G144" s="1">
        <v>0.46553240740740742</v>
      </c>
      <c r="H144" s="1">
        <v>0.4754976851851852</v>
      </c>
      <c r="I144" s="1">
        <v>0.46630787037037036</v>
      </c>
      <c r="J144" s="1">
        <v>0.47605324074074074</v>
      </c>
      <c r="K144" s="1">
        <v>0.48113425925925923</v>
      </c>
      <c r="L144" s="1">
        <v>0.48369212962962965</v>
      </c>
      <c r="M144" s="1">
        <v>0.48494212962962963</v>
      </c>
      <c r="N144" s="1" t="s">
        <v>54</v>
      </c>
      <c r="O144" s="1" t="s">
        <v>34</v>
      </c>
      <c r="P144" s="1" t="s">
        <v>55</v>
      </c>
      <c r="S144" s="1">
        <f t="shared" si="18"/>
        <v>4.5138888888890394E-4</v>
      </c>
      <c r="T144" s="1">
        <f t="shared" si="19"/>
        <v>2.3495370370370527E-3</v>
      </c>
      <c r="U144" s="1">
        <f t="shared" si="20"/>
        <v>7.7546296296293615E-4</v>
      </c>
      <c r="V144" s="1">
        <f t="shared" si="21"/>
        <v>9.9652777777777812E-3</v>
      </c>
      <c r="W144" s="1">
        <f t="shared" si="22"/>
        <v>5.5555555555553138E-4</v>
      </c>
      <c r="X144" s="1">
        <f t="shared" si="23"/>
        <v>1.4826388888888875E-2</v>
      </c>
      <c r="Y144" s="1">
        <f t="shared" si="24"/>
        <v>1.815972222222223E-2</v>
      </c>
      <c r="Z144" s="1">
        <f t="shared" si="25"/>
        <v>2.221064814814816E-2</v>
      </c>
      <c r="AA144" s="1">
        <f t="shared" si="26"/>
        <v>2.8009259259259567E-3</v>
      </c>
    </row>
    <row r="145" spans="1:27" x14ac:dyDescent="0.25">
      <c r="A145">
        <v>3</v>
      </c>
      <c r="B145" t="s">
        <v>393</v>
      </c>
      <c r="C145" t="s">
        <v>385</v>
      </c>
      <c r="D145">
        <v>2019</v>
      </c>
      <c r="E145" s="1">
        <v>0.47266203703703702</v>
      </c>
      <c r="F145" s="1">
        <v>0.47280092592592593</v>
      </c>
      <c r="G145" s="1">
        <v>0.48069444444444442</v>
      </c>
      <c r="H145" s="1">
        <v>0.48472222222222222</v>
      </c>
      <c r="I145" s="1">
        <v>0.48172453703703705</v>
      </c>
      <c r="J145" s="1">
        <v>0.48730324074074072</v>
      </c>
      <c r="K145" s="1">
        <v>0.51105324074074077</v>
      </c>
      <c r="L145" s="1">
        <v>0.51393518518518522</v>
      </c>
      <c r="M145" s="1">
        <v>0.51432870370370365</v>
      </c>
      <c r="N145" s="1" t="s">
        <v>680</v>
      </c>
      <c r="O145" s="1" t="s">
        <v>34</v>
      </c>
      <c r="P145" s="1" t="s">
        <v>55</v>
      </c>
      <c r="S145" s="1">
        <f t="shared" si="18"/>
        <v>1.388888888889106E-4</v>
      </c>
      <c r="T145" s="1">
        <f t="shared" si="19"/>
        <v>7.8935185185184942E-3</v>
      </c>
      <c r="U145" s="1">
        <f t="shared" si="20"/>
        <v>1.0300925925926241E-3</v>
      </c>
      <c r="V145" s="1">
        <f t="shared" si="21"/>
        <v>4.0277777777777968E-3</v>
      </c>
      <c r="W145" s="1">
        <f t="shared" si="22"/>
        <v>2.5810185185184964E-3</v>
      </c>
      <c r="X145" s="1">
        <f t="shared" si="23"/>
        <v>2.9328703703703718E-2</v>
      </c>
      <c r="Y145" s="1">
        <f t="shared" si="24"/>
        <v>3.3240740740740793E-2</v>
      </c>
      <c r="Z145" s="1">
        <f t="shared" si="25"/>
        <v>4.166666666666663E-2</v>
      </c>
      <c r="AA145" s="1">
        <f t="shared" si="26"/>
        <v>8.0324074074074048E-3</v>
      </c>
    </row>
    <row r="146" spans="1:27" x14ac:dyDescent="0.25">
      <c r="A146">
        <v>1</v>
      </c>
      <c r="B146" t="s">
        <v>618</v>
      </c>
      <c r="C146" t="s">
        <v>649</v>
      </c>
      <c r="D146">
        <v>2018</v>
      </c>
      <c r="E146" s="1">
        <v>0.47870370370370369</v>
      </c>
      <c r="F146" s="1">
        <v>0.47917824074074072</v>
      </c>
      <c r="G146" s="1">
        <v>0.48342592592592593</v>
      </c>
      <c r="H146" s="1">
        <v>0.48504629629629631</v>
      </c>
      <c r="I146" s="1">
        <v>0.4841435185185185</v>
      </c>
      <c r="J146" s="1">
        <v>0.48986111111111114</v>
      </c>
      <c r="K146" s="1">
        <v>0.49388888888888888</v>
      </c>
      <c r="L146" s="1">
        <v>0.49702546296296296</v>
      </c>
      <c r="M146" s="1">
        <v>0.4989351851851852</v>
      </c>
      <c r="N146" s="1" t="s">
        <v>450</v>
      </c>
      <c r="O146" s="1" t="s">
        <v>578</v>
      </c>
      <c r="P146" s="1" t="s">
        <v>169</v>
      </c>
      <c r="S146" s="1">
        <f t="shared" si="18"/>
        <v>4.745370370370372E-4</v>
      </c>
      <c r="T146" s="1">
        <f t="shared" si="19"/>
        <v>4.2476851851852016E-3</v>
      </c>
      <c r="U146" s="1">
        <f t="shared" si="20"/>
        <v>7.1759259259257524E-4</v>
      </c>
      <c r="V146" s="1">
        <f t="shared" si="21"/>
        <v>1.6203703703703831E-3</v>
      </c>
      <c r="W146" s="1">
        <f t="shared" si="22"/>
        <v>4.8148148148148273E-3</v>
      </c>
      <c r="X146" s="1">
        <f t="shared" si="23"/>
        <v>9.7453703703703765E-3</v>
      </c>
      <c r="Y146" s="1">
        <f t="shared" si="24"/>
        <v>1.3599537037037035E-2</v>
      </c>
      <c r="Z146" s="1">
        <f t="shared" si="25"/>
        <v>2.0231481481481517E-2</v>
      </c>
      <c r="AA146" s="1">
        <f t="shared" si="26"/>
        <v>4.7222222222222388E-3</v>
      </c>
    </row>
    <row r="147" spans="1:27" x14ac:dyDescent="0.25">
      <c r="A147">
        <v>4</v>
      </c>
      <c r="B147" t="s">
        <v>653</v>
      </c>
      <c r="C147" t="s">
        <v>492</v>
      </c>
      <c r="D147">
        <v>2007</v>
      </c>
      <c r="E147" s="1">
        <v>0.479375</v>
      </c>
      <c r="F147" s="1">
        <v>0.47965277777777776</v>
      </c>
      <c r="G147" s="1">
        <v>0.48525462962962962</v>
      </c>
      <c r="H147" s="1">
        <v>0.49302083333333335</v>
      </c>
      <c r="I147" s="1">
        <v>0.48601851851851852</v>
      </c>
      <c r="J147" s="1">
        <v>0.49302083333333335</v>
      </c>
      <c r="K147" s="1">
        <v>0.50193287037037038</v>
      </c>
      <c r="L147" s="1">
        <v>0.50254629629629632</v>
      </c>
      <c r="M147" s="1">
        <v>0.7207175925925926</v>
      </c>
      <c r="N147" s="1" t="s">
        <v>352</v>
      </c>
      <c r="O147" s="1" t="s">
        <v>578</v>
      </c>
      <c r="P147" s="1" t="s">
        <v>55</v>
      </c>
      <c r="S147" s="1">
        <f t="shared" si="18"/>
        <v>2.7777777777776569E-4</v>
      </c>
      <c r="T147" s="1">
        <f t="shared" si="19"/>
        <v>5.6018518518518579E-3</v>
      </c>
      <c r="U147" s="1">
        <f t="shared" si="20"/>
        <v>7.6388888888889728E-4</v>
      </c>
      <c r="V147" s="1">
        <f t="shared" si="21"/>
        <v>7.7662037037037335E-3</v>
      </c>
      <c r="W147" s="1">
        <f t="shared" si="22"/>
        <v>0</v>
      </c>
      <c r="X147" s="1">
        <f t="shared" si="23"/>
        <v>1.591435185185186E-2</v>
      </c>
      <c r="Y147" s="1">
        <f t="shared" si="24"/>
        <v>1.7291666666666705E-2</v>
      </c>
      <c r="Z147" s="1">
        <f t="shared" si="25"/>
        <v>0.24134259259259261</v>
      </c>
      <c r="AA147" s="1">
        <f t="shared" si="26"/>
        <v>5.8796296296296235E-3</v>
      </c>
    </row>
    <row r="148" spans="1:27" x14ac:dyDescent="0.25">
      <c r="A148">
        <v>2</v>
      </c>
      <c r="B148" t="s">
        <v>380</v>
      </c>
      <c r="C148" t="s">
        <v>633</v>
      </c>
      <c r="D148">
        <v>2026</v>
      </c>
      <c r="E148" s="1">
        <v>0.48813657407407407</v>
      </c>
      <c r="F148" s="1">
        <v>0.48850694444444442</v>
      </c>
      <c r="G148" s="1">
        <v>0.48925925925925928</v>
      </c>
      <c r="H148" s="1">
        <v>0.49844907407407407</v>
      </c>
      <c r="I148" s="1">
        <v>0.49035879629629631</v>
      </c>
      <c r="J148" s="1">
        <v>0.49997685185185187</v>
      </c>
      <c r="K148" s="1">
        <v>0.5053819444444444</v>
      </c>
      <c r="L148" s="1">
        <v>0.50591435185185185</v>
      </c>
      <c r="M148" s="1">
        <v>0.50853009259259263</v>
      </c>
      <c r="N148" s="1" t="s">
        <v>54</v>
      </c>
      <c r="O148" s="1" t="s">
        <v>34</v>
      </c>
      <c r="P148" s="1" t="s">
        <v>55</v>
      </c>
      <c r="S148" s="1">
        <f t="shared" si="18"/>
        <v>3.7037037037035425E-4</v>
      </c>
      <c r="T148" s="1">
        <f t="shared" si="19"/>
        <v>7.523148148148584E-4</v>
      </c>
      <c r="U148" s="1">
        <f t="shared" si="20"/>
        <v>1.0995370370370239E-3</v>
      </c>
      <c r="V148" s="1">
        <f t="shared" si="21"/>
        <v>9.1898148148147896E-3</v>
      </c>
      <c r="W148" s="1">
        <f t="shared" si="22"/>
        <v>1.5277777777777946E-3</v>
      </c>
      <c r="X148" s="1">
        <f t="shared" si="23"/>
        <v>1.5023148148148091E-2</v>
      </c>
      <c r="Y148" s="1">
        <f t="shared" si="24"/>
        <v>1.6655092592592569E-2</v>
      </c>
      <c r="Z148" s="1">
        <f t="shared" si="25"/>
        <v>2.0393518518518561E-2</v>
      </c>
      <c r="AA148" s="1">
        <f t="shared" si="26"/>
        <v>1.1226851851852127E-3</v>
      </c>
    </row>
    <row r="149" spans="1:27" x14ac:dyDescent="0.25">
      <c r="A149">
        <v>1</v>
      </c>
      <c r="B149" t="s">
        <v>393</v>
      </c>
      <c r="C149" t="s">
        <v>495</v>
      </c>
      <c r="D149">
        <v>2012</v>
      </c>
      <c r="E149" s="1">
        <v>0.49062499999999998</v>
      </c>
      <c r="F149" s="1">
        <v>0.4911226851851852</v>
      </c>
      <c r="G149" s="1">
        <v>0.49917824074074074</v>
      </c>
      <c r="H149" s="1">
        <v>0.50468749999999996</v>
      </c>
      <c r="I149" s="1">
        <v>0.5007638888888889</v>
      </c>
      <c r="J149" s="1">
        <v>0.5075115740740741</v>
      </c>
      <c r="K149" s="1">
        <v>0.51145833333333335</v>
      </c>
      <c r="L149" s="1">
        <v>0.5181365740740741</v>
      </c>
      <c r="M149" s="1">
        <v>0.51927083333333335</v>
      </c>
      <c r="N149" s="1" t="s">
        <v>549</v>
      </c>
      <c r="O149" s="1" t="s">
        <v>578</v>
      </c>
      <c r="P149" s="1" t="s">
        <v>55</v>
      </c>
      <c r="S149" s="1">
        <f t="shared" si="18"/>
        <v>4.9768518518522598E-4</v>
      </c>
      <c r="T149" s="1">
        <f t="shared" si="19"/>
        <v>8.055555555555538E-3</v>
      </c>
      <c r="U149" s="1">
        <f t="shared" si="20"/>
        <v>1.5856481481481555E-3</v>
      </c>
      <c r="V149" s="1">
        <f t="shared" si="21"/>
        <v>5.5092592592592138E-3</v>
      </c>
      <c r="W149" s="1">
        <f>J149-H149</f>
        <v>2.8240740740741455E-3</v>
      </c>
      <c r="X149" s="1">
        <f t="shared" si="23"/>
        <v>1.0694444444444451E-2</v>
      </c>
      <c r="Y149" s="1">
        <f t="shared" si="24"/>
        <v>1.8958333333333355E-2</v>
      </c>
      <c r="Z149" s="1">
        <f t="shared" si="25"/>
        <v>2.864583333333337E-2</v>
      </c>
      <c r="AA149" s="1">
        <f t="shared" si="26"/>
        <v>8.553240740740764E-3</v>
      </c>
    </row>
    <row r="150" spans="1:27" x14ac:dyDescent="0.25">
      <c r="A150">
        <v>2</v>
      </c>
      <c r="B150" t="s">
        <v>565</v>
      </c>
      <c r="C150" t="s">
        <v>705</v>
      </c>
      <c r="D150">
        <v>2014</v>
      </c>
      <c r="E150" s="1">
        <v>0.50873842592592589</v>
      </c>
      <c r="F150" s="1">
        <v>0.50893518518518521</v>
      </c>
      <c r="G150" s="1">
        <v>0.50927083333333334</v>
      </c>
      <c r="H150" s="1">
        <v>0.51304398148148145</v>
      </c>
      <c r="I150" s="1">
        <v>0.50995370370370374</v>
      </c>
      <c r="J150" s="1">
        <v>0.51589120370370367</v>
      </c>
      <c r="K150" s="1">
        <v>0.51844907407407403</v>
      </c>
      <c r="L150" s="1">
        <v>0.51902777777777775</v>
      </c>
      <c r="M150" s="1">
        <v>0.51995370370370375</v>
      </c>
      <c r="N150" s="1" t="s">
        <v>54</v>
      </c>
      <c r="O150" s="1" t="s">
        <v>34</v>
      </c>
      <c r="P150" s="1" t="s">
        <v>55</v>
      </c>
      <c r="S150" s="1">
        <f t="shared" si="18"/>
        <v>1.9675925925932702E-4</v>
      </c>
      <c r="T150" s="1">
        <f t="shared" si="19"/>
        <v>3.356481481481266E-4</v>
      </c>
      <c r="U150" s="1">
        <f t="shared" si="20"/>
        <v>6.828703703704031E-4</v>
      </c>
      <c r="V150" s="1">
        <f t="shared" si="21"/>
        <v>3.7731481481481088E-3</v>
      </c>
      <c r="W150" s="1">
        <f t="shared" si="22"/>
        <v>2.8472222222222232E-3</v>
      </c>
      <c r="X150" s="1">
        <f t="shared" si="23"/>
        <v>8.4953703703702921E-3</v>
      </c>
      <c r="Y150" s="1">
        <f t="shared" si="24"/>
        <v>9.7569444444444153E-3</v>
      </c>
      <c r="Z150" s="1">
        <f t="shared" si="25"/>
        <v>1.1215277777777866E-2</v>
      </c>
      <c r="AA150" s="1">
        <f t="shared" si="26"/>
        <v>5.3240740740745363E-4</v>
      </c>
    </row>
    <row r="151" spans="1:27" x14ac:dyDescent="0.25">
      <c r="A151">
        <v>1</v>
      </c>
      <c r="B151" t="s">
        <v>393</v>
      </c>
      <c r="C151" t="s">
        <v>634</v>
      </c>
      <c r="D151">
        <v>2019</v>
      </c>
      <c r="E151" s="1">
        <v>0.52186342592592594</v>
      </c>
      <c r="F151" s="1">
        <v>0.5219907407407407</v>
      </c>
      <c r="G151" s="1">
        <v>0.5227546296296296</v>
      </c>
      <c r="H151" s="1">
        <v>0.52560185185185182</v>
      </c>
      <c r="I151" s="1">
        <v>0.52362268518518518</v>
      </c>
      <c r="J151" s="1">
        <v>0.52704861111111112</v>
      </c>
      <c r="K151" s="1">
        <v>0.53288194444444448</v>
      </c>
      <c r="L151" s="1">
        <v>0.53333333333333333</v>
      </c>
      <c r="M151" s="1">
        <v>0.54622685185185182</v>
      </c>
      <c r="N151" s="1" t="s">
        <v>635</v>
      </c>
      <c r="O151" s="1" t="s">
        <v>555</v>
      </c>
      <c r="P151" s="1" t="s">
        <v>55</v>
      </c>
      <c r="S151" s="1">
        <f t="shared" si="18"/>
        <v>1.273148148147607E-4</v>
      </c>
      <c r="T151" s="1">
        <f t="shared" si="19"/>
        <v>7.6388888888889728E-4</v>
      </c>
      <c r="U151" s="1">
        <f t="shared" si="20"/>
        <v>8.6805555555558023E-4</v>
      </c>
      <c r="V151" s="1">
        <f t="shared" si="21"/>
        <v>2.8472222222222232E-3</v>
      </c>
      <c r="W151" s="1">
        <f t="shared" si="22"/>
        <v>1.4467592592593004E-3</v>
      </c>
      <c r="X151" s="1">
        <f t="shared" si="23"/>
        <v>9.2592592592593004E-3</v>
      </c>
      <c r="Y151" s="1">
        <f t="shared" si="24"/>
        <v>1.0578703703703729E-2</v>
      </c>
      <c r="Z151" s="1">
        <f t="shared" si="25"/>
        <v>2.4363425925925886E-2</v>
      </c>
      <c r="AA151" s="1">
        <f t="shared" si="26"/>
        <v>8.9120370370365798E-4</v>
      </c>
    </row>
    <row r="152" spans="1:27" x14ac:dyDescent="0.25">
      <c r="A152">
        <v>1</v>
      </c>
      <c r="B152" t="s">
        <v>559</v>
      </c>
      <c r="C152" t="s">
        <v>624</v>
      </c>
      <c r="D152">
        <v>2020</v>
      </c>
      <c r="E152" s="1">
        <v>0.5478587962962963</v>
      </c>
      <c r="F152" s="1">
        <v>0.5481018518518519</v>
      </c>
      <c r="G152" s="1">
        <v>0.54859953703703701</v>
      </c>
      <c r="H152" s="1">
        <v>0.55021990740740745</v>
      </c>
      <c r="I152" s="1">
        <v>0.54909722222222224</v>
      </c>
      <c r="J152" s="1">
        <v>0.55140046296296297</v>
      </c>
      <c r="K152" s="1">
        <v>0.55379629629629634</v>
      </c>
      <c r="L152" s="1">
        <v>0.55407407407407405</v>
      </c>
      <c r="M152" s="1">
        <v>0.55474537037037042</v>
      </c>
      <c r="N152" s="1" t="s">
        <v>333</v>
      </c>
      <c r="O152" s="1" t="s">
        <v>34</v>
      </c>
      <c r="P152" s="1" t="s">
        <v>55</v>
      </c>
      <c r="S152" s="1">
        <f t="shared" si="18"/>
        <v>2.4305555555559355E-4</v>
      </c>
      <c r="T152" s="1">
        <f t="shared" si="19"/>
        <v>4.9768518518511495E-4</v>
      </c>
      <c r="U152" s="1">
        <f t="shared" si="20"/>
        <v>4.9768518518522598E-4</v>
      </c>
      <c r="V152" s="1">
        <f t="shared" si="21"/>
        <v>1.6203703703704386E-3</v>
      </c>
      <c r="W152" s="1">
        <f t="shared" si="22"/>
        <v>1.1805555555555181E-3</v>
      </c>
      <c r="X152" s="1">
        <f t="shared" si="23"/>
        <v>4.6990740740741055E-3</v>
      </c>
      <c r="Y152" s="1">
        <f t="shared" si="24"/>
        <v>5.4745370370370416E-3</v>
      </c>
      <c r="Z152" s="1">
        <f t="shared" si="25"/>
        <v>6.8865740740741144E-3</v>
      </c>
      <c r="AA152" s="1">
        <f t="shared" si="26"/>
        <v>7.407407407407085E-4</v>
      </c>
    </row>
    <row r="153" spans="1:27" x14ac:dyDescent="0.25">
      <c r="A153">
        <v>1</v>
      </c>
      <c r="B153" t="s">
        <v>565</v>
      </c>
      <c r="C153" t="s">
        <v>705</v>
      </c>
      <c r="D153">
        <v>2016</v>
      </c>
      <c r="E153" s="1">
        <v>0.55834490740740739</v>
      </c>
      <c r="F153" s="1">
        <v>0.55850694444444449</v>
      </c>
      <c r="G153" s="1">
        <v>0.55936342592592592</v>
      </c>
      <c r="H153" s="1">
        <v>0.56216435185185187</v>
      </c>
      <c r="I153" s="1">
        <v>0.56070601851851853</v>
      </c>
      <c r="J153" s="1">
        <v>0.56314814814814818</v>
      </c>
      <c r="K153" s="1">
        <v>0.56534722222222222</v>
      </c>
      <c r="L153" s="1">
        <v>0.56582175925925926</v>
      </c>
      <c r="M153" s="1">
        <v>0.56679398148148152</v>
      </c>
      <c r="N153" s="1" t="s">
        <v>54</v>
      </c>
      <c r="O153" s="1" t="s">
        <v>34</v>
      </c>
      <c r="P153" s="1" t="s">
        <v>55</v>
      </c>
      <c r="S153" s="1">
        <f t="shared" si="18"/>
        <v>1.6203703703709937E-4</v>
      </c>
      <c r="T153" s="1">
        <f t="shared" si="19"/>
        <v>8.5648148148143033E-4</v>
      </c>
      <c r="U153" s="1">
        <f t="shared" si="20"/>
        <v>1.3425925925926174E-3</v>
      </c>
      <c r="V153" s="1">
        <f t="shared" si="21"/>
        <v>2.8009259259259567E-3</v>
      </c>
      <c r="W153" s="1">
        <f t="shared" si="22"/>
        <v>9.8379629629630205E-4</v>
      </c>
      <c r="X153" s="1">
        <f t="shared" si="23"/>
        <v>4.6412037037036891E-3</v>
      </c>
      <c r="Y153" s="1">
        <f t="shared" si="24"/>
        <v>6.4583333333333437E-3</v>
      </c>
      <c r="Z153" s="1">
        <f t="shared" si="25"/>
        <v>8.4490740740741366E-3</v>
      </c>
      <c r="AA153" s="1">
        <f t="shared" si="26"/>
        <v>1.0185185185185297E-3</v>
      </c>
    </row>
    <row r="154" spans="1:27" x14ac:dyDescent="0.25">
      <c r="A154">
        <v>1</v>
      </c>
      <c r="B154" t="s">
        <v>618</v>
      </c>
      <c r="C154" t="s">
        <v>594</v>
      </c>
      <c r="D154">
        <v>2015</v>
      </c>
      <c r="E154" s="1">
        <v>0.56741898148148151</v>
      </c>
      <c r="F154" s="1">
        <v>0.56759259259259254</v>
      </c>
      <c r="G154" s="1">
        <v>0.56822916666666667</v>
      </c>
      <c r="H154" s="1">
        <v>0.56998842592592591</v>
      </c>
      <c r="I154" s="1">
        <v>0.56874999999999998</v>
      </c>
      <c r="J154" s="1">
        <v>0.5708333333333333</v>
      </c>
      <c r="K154" s="1">
        <v>0.57391203703703708</v>
      </c>
      <c r="L154" s="1">
        <v>0.57459490740740737</v>
      </c>
      <c r="M154" s="1">
        <v>0.58071759259259259</v>
      </c>
      <c r="N154" s="1" t="s">
        <v>54</v>
      </c>
      <c r="O154" s="1" t="s">
        <v>34</v>
      </c>
      <c r="P154" s="1" t="s">
        <v>169</v>
      </c>
      <c r="S154" s="1">
        <f t="shared" si="18"/>
        <v>1.7361111111102723E-4</v>
      </c>
      <c r="T154" s="1">
        <f t="shared" si="19"/>
        <v>6.3657407407413658E-4</v>
      </c>
      <c r="U154" s="1">
        <f t="shared" si="20"/>
        <v>5.2083333333330373E-4</v>
      </c>
      <c r="V154" s="1">
        <f t="shared" si="21"/>
        <v>1.7592592592592382E-3</v>
      </c>
      <c r="W154" s="1">
        <f t="shared" si="22"/>
        <v>8.4490740740739145E-4</v>
      </c>
      <c r="X154" s="1">
        <f t="shared" si="23"/>
        <v>5.1620370370371038E-3</v>
      </c>
      <c r="Y154" s="1">
        <f t="shared" si="24"/>
        <v>6.3657407407406996E-3</v>
      </c>
      <c r="Z154" s="1">
        <f t="shared" si="25"/>
        <v>1.3298611111111081E-2</v>
      </c>
      <c r="AA154" s="1">
        <f t="shared" si="26"/>
        <v>8.101851851851638E-4</v>
      </c>
    </row>
    <row r="155" spans="1:27" x14ac:dyDescent="0.25">
      <c r="A155">
        <v>2</v>
      </c>
      <c r="B155" t="s">
        <v>393</v>
      </c>
      <c r="C155" t="s">
        <v>636</v>
      </c>
      <c r="D155">
        <v>2019</v>
      </c>
      <c r="E155" s="1">
        <v>0.56873842592592594</v>
      </c>
      <c r="F155" s="1">
        <v>0.56903935185185184</v>
      </c>
      <c r="G155" s="1">
        <v>0.5708333333333333</v>
      </c>
      <c r="H155" s="1">
        <v>0.57370370370370372</v>
      </c>
      <c r="I155" s="1">
        <v>0.57203703703703701</v>
      </c>
      <c r="J155" s="1">
        <v>0.57451388888888888</v>
      </c>
      <c r="K155" s="1">
        <v>0.57718749999999996</v>
      </c>
      <c r="L155" s="1">
        <v>0.578587962962963</v>
      </c>
      <c r="M155" s="1">
        <v>0.58078703703703705</v>
      </c>
      <c r="N155" s="1" t="s">
        <v>54</v>
      </c>
      <c r="O155" s="1" t="s">
        <v>578</v>
      </c>
      <c r="P155" s="1" t="s">
        <v>55</v>
      </c>
      <c r="S155" s="1">
        <f t="shared" si="18"/>
        <v>3.0092592592589895E-4</v>
      </c>
      <c r="T155" s="1">
        <f t="shared" si="19"/>
        <v>1.7939814814814659E-3</v>
      </c>
      <c r="U155" s="1">
        <f t="shared" si="20"/>
        <v>1.2037037037037068E-3</v>
      </c>
      <c r="V155" s="1">
        <f t="shared" si="21"/>
        <v>2.870370370370412E-3</v>
      </c>
      <c r="W155" s="1">
        <f t="shared" si="22"/>
        <v>8.101851851851638E-4</v>
      </c>
      <c r="X155" s="1">
        <f t="shared" si="23"/>
        <v>5.1504629629629539E-3</v>
      </c>
      <c r="Y155" s="1">
        <f t="shared" si="24"/>
        <v>7.7546296296296946E-3</v>
      </c>
      <c r="Z155" s="1">
        <f t="shared" si="25"/>
        <v>1.2048611111111107E-2</v>
      </c>
      <c r="AA155" s="1">
        <f t="shared" si="26"/>
        <v>2.0949074074073648E-3</v>
      </c>
    </row>
    <row r="156" spans="1:27" x14ac:dyDescent="0.25">
      <c r="A156">
        <v>1</v>
      </c>
      <c r="B156" t="s">
        <v>561</v>
      </c>
      <c r="C156" t="s">
        <v>657</v>
      </c>
      <c r="D156">
        <v>2021</v>
      </c>
      <c r="E156" s="1">
        <v>0.57841435185185186</v>
      </c>
      <c r="F156" s="1">
        <v>0.57856481481481481</v>
      </c>
      <c r="G156" s="1">
        <v>0.57942129629629635</v>
      </c>
      <c r="H156" s="1">
        <v>0.58079861111111108</v>
      </c>
      <c r="I156" s="1">
        <v>0.57983796296296297</v>
      </c>
      <c r="J156" s="1">
        <v>0.58223379629629635</v>
      </c>
      <c r="K156" s="1">
        <v>0.58339120370370368</v>
      </c>
      <c r="L156" s="1">
        <v>0.5837268518518518</v>
      </c>
      <c r="M156" s="1">
        <v>0.58393518518518517</v>
      </c>
      <c r="N156" s="1" t="s">
        <v>54</v>
      </c>
      <c r="O156" s="1" t="s">
        <v>34</v>
      </c>
      <c r="P156" s="1" t="s">
        <v>55</v>
      </c>
      <c r="S156" s="1">
        <f t="shared" si="18"/>
        <v>1.5046296296294948E-4</v>
      </c>
      <c r="T156" s="1">
        <f t="shared" si="19"/>
        <v>8.5648148148154135E-4</v>
      </c>
      <c r="U156" s="1">
        <f t="shared" si="20"/>
        <v>4.1666666666662078E-4</v>
      </c>
      <c r="V156" s="1">
        <f t="shared" si="21"/>
        <v>1.3773148148147341E-3</v>
      </c>
      <c r="W156" s="1">
        <f t="shared" si="22"/>
        <v>1.4351851851852615E-3</v>
      </c>
      <c r="X156" s="1">
        <f t="shared" si="23"/>
        <v>3.5532407407407041E-3</v>
      </c>
      <c r="Y156" s="1">
        <f t="shared" si="24"/>
        <v>4.3055555555554514E-3</v>
      </c>
      <c r="Z156" s="1">
        <f t="shared" si="25"/>
        <v>5.5208333333333082E-3</v>
      </c>
      <c r="AA156" s="1">
        <f t="shared" si="26"/>
        <v>1.0069444444444908E-3</v>
      </c>
    </row>
    <row r="157" spans="1:27" x14ac:dyDescent="0.25">
      <c r="A157">
        <v>1</v>
      </c>
      <c r="B157" t="s">
        <v>606</v>
      </c>
      <c r="C157" t="s">
        <v>637</v>
      </c>
      <c r="D157">
        <v>2020</v>
      </c>
      <c r="E157" s="1">
        <v>0.58799768518518514</v>
      </c>
      <c r="F157" s="1">
        <v>0.5882060185185185</v>
      </c>
      <c r="G157" s="1">
        <v>0.58878472222222222</v>
      </c>
      <c r="H157" s="1">
        <v>0.59087962962962959</v>
      </c>
      <c r="I157" s="1">
        <v>0.58945601851851848</v>
      </c>
      <c r="J157" s="1">
        <v>0.5926851851851852</v>
      </c>
      <c r="K157" s="1">
        <v>0.59621527777777783</v>
      </c>
      <c r="L157" s="1">
        <v>0.60056712962962966</v>
      </c>
      <c r="M157" s="1">
        <v>0.60196759259259258</v>
      </c>
      <c r="N157" s="1" t="s">
        <v>291</v>
      </c>
      <c r="O157" s="1" t="s">
        <v>578</v>
      </c>
      <c r="P157" s="1" t="s">
        <v>605</v>
      </c>
      <c r="S157" s="1">
        <f t="shared" si="18"/>
        <v>2.083333333333659E-4</v>
      </c>
      <c r="T157" s="1">
        <f t="shared" si="19"/>
        <v>5.7870370370372015E-4</v>
      </c>
      <c r="U157" s="1">
        <f t="shared" si="20"/>
        <v>6.712962962962532E-4</v>
      </c>
      <c r="V157" s="1">
        <f t="shared" si="21"/>
        <v>2.0949074074073648E-3</v>
      </c>
      <c r="W157" s="1">
        <f t="shared" si="22"/>
        <v>1.8055555555556158E-3</v>
      </c>
      <c r="X157" s="1">
        <f t="shared" si="23"/>
        <v>6.7592592592593537E-3</v>
      </c>
      <c r="Y157" s="1">
        <f t="shared" si="24"/>
        <v>1.1782407407407436E-2</v>
      </c>
      <c r="Z157" s="1">
        <f t="shared" si="25"/>
        <v>1.3969907407407445E-2</v>
      </c>
      <c r="AA157" s="1">
        <f t="shared" si="26"/>
        <v>7.8703703703708605E-4</v>
      </c>
    </row>
    <row r="158" spans="1:27" x14ac:dyDescent="0.25">
      <c r="A158">
        <v>1</v>
      </c>
      <c r="B158" t="s">
        <v>615</v>
      </c>
      <c r="C158" t="s">
        <v>655</v>
      </c>
      <c r="D158">
        <v>2024</v>
      </c>
      <c r="E158" s="1">
        <v>0.6045949074074074</v>
      </c>
      <c r="F158" s="1">
        <v>0.6047569444444445</v>
      </c>
      <c r="G158" s="1">
        <v>0.60532407407407407</v>
      </c>
      <c r="H158" s="1">
        <v>0.60724537037037041</v>
      </c>
      <c r="I158" s="1">
        <v>0.60603009259259255</v>
      </c>
      <c r="J158" s="1">
        <v>0.61064814814814816</v>
      </c>
      <c r="K158" s="1">
        <v>0.61702546296296301</v>
      </c>
      <c r="L158" s="1">
        <v>0.61803240740740739</v>
      </c>
      <c r="M158" s="1">
        <v>0.61571759259259262</v>
      </c>
      <c r="N158" s="1" t="s">
        <v>54</v>
      </c>
      <c r="O158" s="1" t="s">
        <v>34</v>
      </c>
      <c r="P158" s="1" t="s">
        <v>169</v>
      </c>
      <c r="S158" s="1">
        <f t="shared" si="18"/>
        <v>1.6203703703709937E-4</v>
      </c>
      <c r="T158" s="1">
        <f t="shared" si="19"/>
        <v>5.6712962962957025E-4</v>
      </c>
      <c r="U158" s="1">
        <f t="shared" si="20"/>
        <v>7.0601851851848085E-4</v>
      </c>
      <c r="V158" s="1">
        <f t="shared" si="21"/>
        <v>1.9212962962963376E-3</v>
      </c>
      <c r="W158" s="1">
        <f t="shared" si="22"/>
        <v>3.4027777777777546E-3</v>
      </c>
      <c r="X158" s="1">
        <f t="shared" si="23"/>
        <v>1.0995370370370461E-2</v>
      </c>
      <c r="Y158" s="1">
        <f t="shared" si="24"/>
        <v>1.2708333333333321E-2</v>
      </c>
      <c r="Z158" s="1">
        <f t="shared" si="25"/>
        <v>1.1122685185185222E-2</v>
      </c>
      <c r="AA158" s="1">
        <f t="shared" si="26"/>
        <v>7.2916666666666963E-4</v>
      </c>
    </row>
    <row r="159" spans="1:27" x14ac:dyDescent="0.25">
      <c r="A159">
        <v>1</v>
      </c>
      <c r="B159" t="s">
        <v>586</v>
      </c>
      <c r="C159" t="s">
        <v>658</v>
      </c>
      <c r="D159">
        <v>2004</v>
      </c>
      <c r="E159" s="1">
        <v>0.63021990740740741</v>
      </c>
      <c r="F159" s="1">
        <v>0.630462962962963</v>
      </c>
      <c r="G159" s="1">
        <v>0.63120370370370371</v>
      </c>
      <c r="H159" s="1">
        <v>0.63408564814814816</v>
      </c>
      <c r="I159" s="1">
        <v>0.63211805555555556</v>
      </c>
      <c r="J159" s="1">
        <v>0.63703703703703707</v>
      </c>
      <c r="K159" s="1">
        <v>0.64090277777777782</v>
      </c>
      <c r="L159" s="1">
        <v>0.64959490740740744</v>
      </c>
      <c r="M159" s="1">
        <v>0.6519907407407407</v>
      </c>
      <c r="N159" s="1" t="s">
        <v>503</v>
      </c>
      <c r="O159" s="1" t="s">
        <v>578</v>
      </c>
      <c r="P159" s="1" t="s">
        <v>169</v>
      </c>
      <c r="S159" s="1">
        <f t="shared" si="18"/>
        <v>2.4305555555559355E-4</v>
      </c>
      <c r="T159" s="1">
        <f t="shared" si="19"/>
        <v>7.407407407407085E-4</v>
      </c>
      <c r="U159" s="1">
        <f t="shared" si="20"/>
        <v>9.1435185185184675E-4</v>
      </c>
      <c r="V159" s="1">
        <f t="shared" si="21"/>
        <v>2.8819444444444509E-3</v>
      </c>
      <c r="W159" s="1">
        <f t="shared" si="22"/>
        <v>2.9513888888889062E-3</v>
      </c>
      <c r="X159" s="1">
        <f t="shared" si="23"/>
        <v>8.7847222222222632E-3</v>
      </c>
      <c r="Y159" s="1">
        <f t="shared" si="24"/>
        <v>1.8391203703703729E-2</v>
      </c>
      <c r="Z159" s="1">
        <f t="shared" si="25"/>
        <v>2.1770833333333295E-2</v>
      </c>
      <c r="AA159" s="1">
        <f t="shared" si="26"/>
        <v>9.8379629629630205E-4</v>
      </c>
    </row>
    <row r="160" spans="1:27" x14ac:dyDescent="0.25">
      <c r="A160">
        <v>2</v>
      </c>
      <c r="B160" t="s">
        <v>380</v>
      </c>
      <c r="C160" t="s">
        <v>665</v>
      </c>
      <c r="D160">
        <v>2016</v>
      </c>
      <c r="E160" s="1">
        <v>0.63269675925925928</v>
      </c>
      <c r="F160" s="1">
        <v>0.63290509259259264</v>
      </c>
      <c r="G160" s="1">
        <v>0.63395833333333329</v>
      </c>
      <c r="H160" s="1">
        <v>0.63665509259259256</v>
      </c>
      <c r="I160" s="1">
        <v>0.6346180555555555</v>
      </c>
      <c r="J160" s="1">
        <v>0.63866898148148143</v>
      </c>
      <c r="K160" s="1">
        <v>0.64189814814814816</v>
      </c>
      <c r="L160" s="1">
        <v>0.64331018518518523</v>
      </c>
      <c r="M160" s="1">
        <v>0.64439814814814811</v>
      </c>
      <c r="N160" s="1" t="s">
        <v>54</v>
      </c>
      <c r="O160" s="1" t="s">
        <v>34</v>
      </c>
      <c r="P160" s="1" t="s">
        <v>55</v>
      </c>
      <c r="S160" s="1">
        <f t="shared" si="18"/>
        <v>2.083333333333659E-4</v>
      </c>
      <c r="T160" s="1">
        <f t="shared" si="19"/>
        <v>1.0532407407406463E-3</v>
      </c>
      <c r="U160" s="1">
        <f t="shared" si="20"/>
        <v>6.5972222222221433E-4</v>
      </c>
      <c r="V160" s="1">
        <f t="shared" si="21"/>
        <v>2.6967592592592737E-3</v>
      </c>
      <c r="W160" s="1">
        <f t="shared" si="22"/>
        <v>2.0138888888888706E-3</v>
      </c>
      <c r="X160" s="1">
        <f t="shared" si="23"/>
        <v>7.2800925925926574E-3</v>
      </c>
      <c r="Y160" s="1">
        <f t="shared" si="24"/>
        <v>9.3518518518519445E-3</v>
      </c>
      <c r="Z160" s="1">
        <f t="shared" si="25"/>
        <v>1.1701388888888831E-2</v>
      </c>
      <c r="AA160" s="1">
        <f t="shared" si="26"/>
        <v>1.2615740740740122E-3</v>
      </c>
    </row>
    <row r="161" spans="1:27" x14ac:dyDescent="0.25">
      <c r="A161">
        <v>3</v>
      </c>
      <c r="B161" t="s">
        <v>393</v>
      </c>
      <c r="C161" t="s">
        <v>383</v>
      </c>
      <c r="D161">
        <v>2013</v>
      </c>
      <c r="E161" s="1">
        <v>0.63793981481481477</v>
      </c>
      <c r="F161" s="1">
        <v>0.63834490740740746</v>
      </c>
      <c r="G161" s="1">
        <v>0.63946759259259256</v>
      </c>
      <c r="H161" s="1">
        <v>0.64422453703703708</v>
      </c>
      <c r="I161" s="1">
        <v>0.64064814814814819</v>
      </c>
      <c r="J161" s="1">
        <v>0.64533564814814814</v>
      </c>
      <c r="K161" s="1">
        <v>0.65133101851851849</v>
      </c>
      <c r="L161" s="1">
        <v>0.65391203703703704</v>
      </c>
      <c r="M161" s="1">
        <v>0.65541666666666665</v>
      </c>
      <c r="N161" s="1" t="s">
        <v>54</v>
      </c>
      <c r="O161" s="1" t="s">
        <v>555</v>
      </c>
      <c r="P161" s="1" t="s">
        <v>55</v>
      </c>
      <c r="S161" s="1">
        <f t="shared" si="18"/>
        <v>4.0509259259269292E-4</v>
      </c>
      <c r="T161" s="1">
        <f t="shared" si="19"/>
        <v>1.1226851851851016E-3</v>
      </c>
      <c r="U161" s="1">
        <f t="shared" si="20"/>
        <v>1.1805555555556291E-3</v>
      </c>
      <c r="V161" s="1">
        <f t="shared" si="21"/>
        <v>4.7569444444445219E-3</v>
      </c>
      <c r="W161" s="1">
        <f t="shared" si="22"/>
        <v>1.1111111111110628E-3</v>
      </c>
      <c r="X161" s="1">
        <f t="shared" si="23"/>
        <v>1.0682870370370301E-2</v>
      </c>
      <c r="Y161" s="1">
        <f t="shared" si="24"/>
        <v>1.4444444444444482E-2</v>
      </c>
      <c r="Z161" s="1">
        <f t="shared" si="25"/>
        <v>1.7476851851851882E-2</v>
      </c>
      <c r="AA161" s="1">
        <f t="shared" si="26"/>
        <v>1.5277777777777946E-3</v>
      </c>
    </row>
    <row r="162" spans="1:27" x14ac:dyDescent="0.25">
      <c r="A162">
        <v>4</v>
      </c>
      <c r="B162" t="s">
        <v>638</v>
      </c>
      <c r="C162" t="s">
        <v>563</v>
      </c>
      <c r="D162">
        <v>2018</v>
      </c>
      <c r="E162" s="1">
        <v>0.63809027777777783</v>
      </c>
      <c r="F162" s="1">
        <v>0.63854166666666667</v>
      </c>
      <c r="G162" s="1">
        <v>0.64020833333333338</v>
      </c>
      <c r="H162" s="1">
        <v>0.64489583333333333</v>
      </c>
      <c r="I162" s="1">
        <v>0.64218750000000002</v>
      </c>
      <c r="J162" s="1">
        <v>0.64655092592592589</v>
      </c>
      <c r="K162" s="1">
        <v>0.65126157407407403</v>
      </c>
      <c r="L162" s="1">
        <v>0.65261574074074069</v>
      </c>
      <c r="M162" s="1">
        <v>0.65464120370370371</v>
      </c>
      <c r="N162" s="1" t="s">
        <v>54</v>
      </c>
      <c r="O162" s="1" t="s">
        <v>34</v>
      </c>
      <c r="P162" s="1" t="s">
        <v>169</v>
      </c>
      <c r="S162" s="1">
        <f t="shared" si="18"/>
        <v>4.5138888888884843E-4</v>
      </c>
      <c r="T162" s="1">
        <f t="shared" si="19"/>
        <v>1.6666666666667052E-3</v>
      </c>
      <c r="U162" s="1">
        <f t="shared" si="20"/>
        <v>1.979166666666643E-3</v>
      </c>
      <c r="V162" s="1">
        <f t="shared" si="21"/>
        <v>4.6874999999999556E-3</v>
      </c>
      <c r="W162" s="1">
        <f t="shared" si="22"/>
        <v>1.6550925925925553E-3</v>
      </c>
      <c r="X162" s="1">
        <f t="shared" si="23"/>
        <v>9.0740740740740122E-3</v>
      </c>
      <c r="Y162" s="1">
        <f t="shared" si="24"/>
        <v>1.2407407407407312E-2</v>
      </c>
      <c r="Z162" s="1">
        <f t="shared" si="25"/>
        <v>1.6550925925925886E-2</v>
      </c>
      <c r="AA162" s="1">
        <f t="shared" si="26"/>
        <v>2.1180555555555536E-3</v>
      </c>
    </row>
    <row r="163" spans="1:27" x14ac:dyDescent="0.25">
      <c r="A163">
        <v>1</v>
      </c>
      <c r="B163" t="s">
        <v>586</v>
      </c>
      <c r="C163" t="s">
        <v>506</v>
      </c>
      <c r="D163">
        <v>2013</v>
      </c>
      <c r="E163" s="1">
        <v>0.6487384259259259</v>
      </c>
      <c r="F163" s="1">
        <v>0.64893518518518523</v>
      </c>
      <c r="G163" s="1">
        <v>0.65083333333333337</v>
      </c>
      <c r="H163" s="1">
        <v>0.65559027777777779</v>
      </c>
      <c r="I163" s="1">
        <v>0.65349537037037042</v>
      </c>
      <c r="J163" s="1">
        <v>0.65708333333333335</v>
      </c>
      <c r="K163" s="1">
        <v>0.66289351851851852</v>
      </c>
      <c r="L163" s="1">
        <v>0.66324074074074069</v>
      </c>
      <c r="M163" s="1">
        <v>0.66519675925925925</v>
      </c>
      <c r="N163" s="1" t="s">
        <v>378</v>
      </c>
      <c r="O163" s="1" t="s">
        <v>34</v>
      </c>
      <c r="P163" s="1" t="s">
        <v>169</v>
      </c>
      <c r="S163" s="1">
        <f t="shared" si="18"/>
        <v>1.9675925925932702E-4</v>
      </c>
      <c r="T163" s="1">
        <f t="shared" si="19"/>
        <v>1.8981481481481488E-3</v>
      </c>
      <c r="U163" s="1">
        <f t="shared" si="20"/>
        <v>2.6620370370370461E-3</v>
      </c>
      <c r="V163" s="1">
        <f t="shared" si="21"/>
        <v>4.7569444444444109E-3</v>
      </c>
      <c r="W163" s="1">
        <f t="shared" si="22"/>
        <v>1.4930555555555669E-3</v>
      </c>
      <c r="X163" s="1">
        <f t="shared" si="23"/>
        <v>9.3981481481481E-3</v>
      </c>
      <c r="Y163" s="1">
        <f t="shared" si="24"/>
        <v>1.2407407407407312E-2</v>
      </c>
      <c r="Z163" s="1">
        <f t="shared" si="25"/>
        <v>1.6458333333333353E-2</v>
      </c>
      <c r="AA163" s="1">
        <f t="shared" si="26"/>
        <v>2.0949074074074758E-3</v>
      </c>
    </row>
    <row r="164" spans="1:27" x14ac:dyDescent="0.25">
      <c r="A164">
        <v>2</v>
      </c>
      <c r="B164" t="s">
        <v>585</v>
      </c>
      <c r="C164" t="s">
        <v>698</v>
      </c>
      <c r="D164">
        <v>2015</v>
      </c>
      <c r="E164" s="1">
        <v>0.65413194444444445</v>
      </c>
      <c r="F164" s="1">
        <v>0.65439814814814812</v>
      </c>
      <c r="G164" s="1">
        <v>0.6552662037037037</v>
      </c>
      <c r="H164" s="1">
        <v>0.65866898148148145</v>
      </c>
      <c r="I164" s="1">
        <v>0.65635416666666668</v>
      </c>
      <c r="J164" s="1">
        <v>0.66281250000000003</v>
      </c>
      <c r="K164" s="1">
        <v>0.66454861111111108</v>
      </c>
      <c r="L164" s="1">
        <v>0.66498842592592589</v>
      </c>
      <c r="M164" s="1">
        <v>0.66593749999999996</v>
      </c>
      <c r="N164" s="1" t="s">
        <v>421</v>
      </c>
      <c r="O164" s="1" t="s">
        <v>578</v>
      </c>
      <c r="P164" s="1" t="s">
        <v>169</v>
      </c>
      <c r="S164" s="1">
        <f t="shared" si="18"/>
        <v>2.662037037036713E-4</v>
      </c>
      <c r="T164" s="1">
        <f t="shared" si="19"/>
        <v>8.6805555555558023E-4</v>
      </c>
      <c r="U164" s="1">
        <f t="shared" si="20"/>
        <v>1.087962962962985E-3</v>
      </c>
      <c r="V164" s="1">
        <f t="shared" si="21"/>
        <v>3.4027777777777546E-3</v>
      </c>
      <c r="W164" s="1">
        <f t="shared" si="22"/>
        <v>4.1435185185185741E-3</v>
      </c>
      <c r="X164" s="1">
        <f t="shared" si="23"/>
        <v>8.1944444444443931E-3</v>
      </c>
      <c r="Y164" s="1">
        <f t="shared" si="24"/>
        <v>9.7222222222221877E-3</v>
      </c>
      <c r="Z164" s="1">
        <f t="shared" si="25"/>
        <v>1.1805555555555514E-2</v>
      </c>
      <c r="AA164" s="1">
        <f t="shared" si="26"/>
        <v>1.1342592592592515E-3</v>
      </c>
    </row>
    <row r="165" spans="1:27" x14ac:dyDescent="0.25">
      <c r="A165">
        <v>1</v>
      </c>
      <c r="B165" t="s">
        <v>11</v>
      </c>
      <c r="C165" t="s">
        <v>645</v>
      </c>
      <c r="D165">
        <v>2014</v>
      </c>
      <c r="E165" s="1">
        <v>0.6782407407407407</v>
      </c>
      <c r="F165" s="1">
        <v>0.67847222222222225</v>
      </c>
      <c r="G165" s="1">
        <v>0.68030092592592595</v>
      </c>
      <c r="H165" s="1">
        <v>0.6818981481481482</v>
      </c>
      <c r="I165" s="1">
        <v>0.6810532407407407</v>
      </c>
      <c r="J165" s="1">
        <v>0.68612268518518515</v>
      </c>
      <c r="K165" s="1">
        <v>0.68887731481481485</v>
      </c>
      <c r="L165" s="1">
        <v>0.69077546296296299</v>
      </c>
      <c r="M165" s="1">
        <v>0.69157407407407412</v>
      </c>
      <c r="N165" s="1" t="s">
        <v>384</v>
      </c>
      <c r="O165" s="1" t="s">
        <v>34</v>
      </c>
      <c r="P165" s="1" t="s">
        <v>55</v>
      </c>
      <c r="S165" s="1">
        <f t="shared" si="18"/>
        <v>2.3148148148155467E-4</v>
      </c>
      <c r="T165" s="1">
        <f t="shared" si="19"/>
        <v>1.8287037037036935E-3</v>
      </c>
      <c r="U165" s="1">
        <f t="shared" si="20"/>
        <v>7.5231481481474738E-4</v>
      </c>
      <c r="V165" s="1">
        <f t="shared" si="21"/>
        <v>1.5972222222222499E-3</v>
      </c>
      <c r="W165" s="1">
        <f t="shared" si="22"/>
        <v>4.2245370370369573E-3</v>
      </c>
      <c r="X165" s="1">
        <f t="shared" si="23"/>
        <v>7.8240740740741499E-3</v>
      </c>
      <c r="Y165" s="1">
        <f t="shared" si="24"/>
        <v>1.0474537037037046E-2</v>
      </c>
      <c r="Z165" s="1">
        <f t="shared" si="25"/>
        <v>1.3333333333333419E-2</v>
      </c>
      <c r="AA165" s="1">
        <f t="shared" si="26"/>
        <v>2.0601851851852482E-3</v>
      </c>
    </row>
    <row r="166" spans="1:27" x14ac:dyDescent="0.25">
      <c r="A166">
        <v>1</v>
      </c>
      <c r="B166" t="s">
        <v>709</v>
      </c>
      <c r="C166" t="s">
        <v>661</v>
      </c>
      <c r="D166">
        <v>2017</v>
      </c>
      <c r="E166" s="1">
        <v>0.72572916666666665</v>
      </c>
      <c r="F166" s="1">
        <v>0.72591435185185182</v>
      </c>
      <c r="G166" s="1">
        <v>0.72652777777777777</v>
      </c>
      <c r="H166" s="1">
        <v>0.72976851851851854</v>
      </c>
      <c r="I166" s="1">
        <v>0.72729166666666667</v>
      </c>
      <c r="J166" s="1">
        <v>0.7324074074074074</v>
      </c>
      <c r="K166" s="1">
        <v>0.73458333333333337</v>
      </c>
      <c r="L166" s="1">
        <v>0.73486111111111108</v>
      </c>
      <c r="M166" s="1">
        <v>0.73643518518518514</v>
      </c>
      <c r="N166" s="1" t="s">
        <v>431</v>
      </c>
      <c r="O166" s="1" t="s">
        <v>34</v>
      </c>
      <c r="P166" s="1" t="s">
        <v>55</v>
      </c>
      <c r="S166" s="1">
        <f t="shared" si="18"/>
        <v>1.8518518518517713E-4</v>
      </c>
      <c r="T166" s="1">
        <f t="shared" si="19"/>
        <v>6.134259259259478E-4</v>
      </c>
      <c r="U166" s="1">
        <f t="shared" si="20"/>
        <v>7.6388888888889728E-4</v>
      </c>
      <c r="V166" s="1">
        <f t="shared" si="21"/>
        <v>3.2407407407407662E-3</v>
      </c>
      <c r="W166" s="1">
        <f t="shared" si="22"/>
        <v>2.6388888888888573E-3</v>
      </c>
      <c r="X166" s="1">
        <f t="shared" si="23"/>
        <v>7.2916666666666963E-3</v>
      </c>
      <c r="Y166" s="1">
        <f t="shared" si="24"/>
        <v>8.3333333333333037E-3</v>
      </c>
      <c r="Z166" s="1">
        <f t="shared" si="25"/>
        <v>1.070601851851849E-2</v>
      </c>
      <c r="AA166" s="1">
        <f t="shared" si="26"/>
        <v>7.9861111111112493E-4</v>
      </c>
    </row>
    <row r="167" spans="1:27" x14ac:dyDescent="0.25">
      <c r="A167">
        <v>2</v>
      </c>
      <c r="B167" t="s">
        <v>585</v>
      </c>
      <c r="C167" t="s">
        <v>639</v>
      </c>
      <c r="D167">
        <v>2018</v>
      </c>
      <c r="E167" s="1">
        <v>0.727025462962963</v>
      </c>
      <c r="F167" s="1">
        <v>0.72726851851851848</v>
      </c>
      <c r="G167" s="1">
        <v>0.72916666666666663</v>
      </c>
      <c r="H167" s="1">
        <v>0.73403935185185187</v>
      </c>
      <c r="I167" s="1">
        <v>0.73040509259259256</v>
      </c>
      <c r="J167" s="1">
        <v>0.73644675925925929</v>
      </c>
      <c r="K167" s="1">
        <v>0.73788194444444444</v>
      </c>
      <c r="L167" s="1">
        <v>0.74168981481481477</v>
      </c>
      <c r="M167" s="1">
        <v>0.74101851851851852</v>
      </c>
      <c r="N167" s="1" t="s">
        <v>54</v>
      </c>
      <c r="O167" s="1" t="s">
        <v>34</v>
      </c>
      <c r="P167" s="1" t="s">
        <v>169</v>
      </c>
      <c r="S167" s="1">
        <f t="shared" si="18"/>
        <v>2.4305555555548253E-4</v>
      </c>
      <c r="T167" s="1">
        <f t="shared" si="19"/>
        <v>1.8981481481481488E-3</v>
      </c>
      <c r="U167" s="1">
        <f t="shared" si="20"/>
        <v>1.2384259259259345E-3</v>
      </c>
      <c r="V167" s="1">
        <f t="shared" si="21"/>
        <v>4.8726851851852437E-3</v>
      </c>
      <c r="W167" s="1">
        <f t="shared" si="22"/>
        <v>2.4074074074074137E-3</v>
      </c>
      <c r="X167" s="1">
        <f t="shared" si="23"/>
        <v>7.4768518518518734E-3</v>
      </c>
      <c r="Y167" s="1">
        <f t="shared" si="24"/>
        <v>1.2523148148148144E-2</v>
      </c>
      <c r="Z167" s="1">
        <f t="shared" si="25"/>
        <v>1.3993055555555522E-2</v>
      </c>
      <c r="AA167" s="1">
        <f t="shared" si="26"/>
        <v>2.1412037037036313E-3</v>
      </c>
    </row>
    <row r="168" spans="1:27" x14ac:dyDescent="0.25">
      <c r="A168">
        <v>1</v>
      </c>
      <c r="B168" t="s">
        <v>359</v>
      </c>
      <c r="C168" t="s">
        <v>666</v>
      </c>
      <c r="D168">
        <v>2019</v>
      </c>
      <c r="E168" s="1">
        <v>0.74071759259259262</v>
      </c>
      <c r="F168" s="1">
        <v>0.7409027777777778</v>
      </c>
      <c r="G168" s="1">
        <v>0.74203703703703705</v>
      </c>
      <c r="H168" s="1">
        <v>0.7442361111111111</v>
      </c>
      <c r="I168" s="1">
        <v>0.74258101851851854</v>
      </c>
      <c r="J168" s="1">
        <v>0.74688657407407411</v>
      </c>
      <c r="K168" s="1">
        <v>0.75498842592592597</v>
      </c>
      <c r="L168" s="1">
        <v>0.75539351851851855</v>
      </c>
      <c r="M168" s="1">
        <v>0.75798611111111114</v>
      </c>
      <c r="N168" s="1" t="s">
        <v>54</v>
      </c>
      <c r="O168" s="1" t="s">
        <v>34</v>
      </c>
      <c r="P168" s="1" t="s">
        <v>55</v>
      </c>
      <c r="S168" s="1">
        <f t="shared" si="18"/>
        <v>1.8518518518517713E-4</v>
      </c>
      <c r="T168" s="1">
        <f t="shared" si="19"/>
        <v>1.1342592592592515E-3</v>
      </c>
      <c r="U168" s="1">
        <f t="shared" si="20"/>
        <v>5.439814814814925E-4</v>
      </c>
      <c r="V168" s="1">
        <f t="shared" si="21"/>
        <v>2.1990740740740478E-3</v>
      </c>
      <c r="W168" s="1">
        <f t="shared" si="22"/>
        <v>2.6504629629630072E-3</v>
      </c>
      <c r="X168" s="1">
        <f t="shared" si="23"/>
        <v>1.2407407407407423E-2</v>
      </c>
      <c r="Y168" s="1">
        <f t="shared" si="24"/>
        <v>1.3356481481481497E-2</v>
      </c>
      <c r="Z168" s="1">
        <f t="shared" si="25"/>
        <v>1.7268518518518516E-2</v>
      </c>
      <c r="AA168" s="1">
        <f t="shared" si="26"/>
        <v>1.3194444444444287E-3</v>
      </c>
    </row>
    <row r="169" spans="1:27" x14ac:dyDescent="0.25">
      <c r="A169">
        <v>2</v>
      </c>
      <c r="B169" t="s">
        <v>559</v>
      </c>
      <c r="C169" t="s">
        <v>683</v>
      </c>
      <c r="D169">
        <v>2019</v>
      </c>
      <c r="E169" s="1">
        <v>0.7414236111111111</v>
      </c>
      <c r="F169" s="1">
        <v>0.7415046296296296</v>
      </c>
      <c r="G169" s="1">
        <v>0.74241898148148144</v>
      </c>
      <c r="H169" s="1">
        <v>0.74578703703703708</v>
      </c>
      <c r="I169" s="1">
        <v>0.74354166666666666</v>
      </c>
      <c r="J169" s="1">
        <v>0.75064814814814818</v>
      </c>
      <c r="K169" s="1">
        <v>0.75646990740740738</v>
      </c>
      <c r="L169" s="1">
        <v>0.7603819444444444</v>
      </c>
      <c r="M169" s="1">
        <v>0.75996527777777778</v>
      </c>
      <c r="N169" s="1" t="s">
        <v>54</v>
      </c>
      <c r="O169" s="1" t="s">
        <v>555</v>
      </c>
      <c r="P169" s="1" t="s">
        <v>55</v>
      </c>
      <c r="S169" s="1">
        <f t="shared" si="18"/>
        <v>8.1018518518494176E-5</v>
      </c>
      <c r="T169" s="1">
        <f t="shared" si="19"/>
        <v>9.1435185185184675E-4</v>
      </c>
      <c r="U169" s="1">
        <f t="shared" si="20"/>
        <v>1.1226851851852127E-3</v>
      </c>
      <c r="V169" s="1">
        <f t="shared" si="21"/>
        <v>3.368055555555638E-3</v>
      </c>
      <c r="W169" s="1">
        <f t="shared" si="22"/>
        <v>4.8611111111110938E-3</v>
      </c>
      <c r="X169" s="1">
        <f t="shared" si="23"/>
        <v>1.2928240740740726E-2</v>
      </c>
      <c r="Y169" s="1">
        <f t="shared" si="24"/>
        <v>1.7962962962962958E-2</v>
      </c>
      <c r="Z169" s="1">
        <f t="shared" si="25"/>
        <v>1.8541666666666679E-2</v>
      </c>
      <c r="AA169" s="1">
        <f t="shared" si="26"/>
        <v>9.9537037037034093E-4</v>
      </c>
    </row>
    <row r="170" spans="1:27" x14ac:dyDescent="0.25">
      <c r="A170">
        <v>3</v>
      </c>
      <c r="B170" t="s">
        <v>560</v>
      </c>
      <c r="C170" t="s">
        <v>699</v>
      </c>
      <c r="D170">
        <v>2020</v>
      </c>
      <c r="E170" s="1">
        <v>0.74630787037037039</v>
      </c>
      <c r="F170" s="1">
        <v>0.74646990740740737</v>
      </c>
      <c r="G170" s="1">
        <v>0.7475694444444444</v>
      </c>
      <c r="H170" s="1">
        <v>0.75186342592592592</v>
      </c>
      <c r="I170" s="1">
        <v>0.74814814814814812</v>
      </c>
      <c r="J170" s="1">
        <v>0.75453703703703701</v>
      </c>
      <c r="K170" s="1">
        <v>0.75709490740740737</v>
      </c>
      <c r="L170" s="1">
        <v>0.7621296296296296</v>
      </c>
      <c r="M170" s="1">
        <v>0.77181712962962967</v>
      </c>
      <c r="N170" s="1" t="s">
        <v>510</v>
      </c>
      <c r="O170" s="1" t="s">
        <v>34</v>
      </c>
      <c r="P170" s="1" t="s">
        <v>55</v>
      </c>
      <c r="S170" s="1">
        <f t="shared" si="18"/>
        <v>1.6203703703698835E-4</v>
      </c>
      <c r="T170" s="1">
        <f t="shared" si="19"/>
        <v>1.0995370370370239E-3</v>
      </c>
      <c r="U170" s="1">
        <f t="shared" si="20"/>
        <v>5.7870370370372015E-4</v>
      </c>
      <c r="V170" s="1">
        <f t="shared" si="21"/>
        <v>4.2939814814815236E-3</v>
      </c>
      <c r="W170" s="1">
        <f t="shared" si="22"/>
        <v>2.673611111111085E-3</v>
      </c>
      <c r="X170" s="1">
        <f t="shared" si="23"/>
        <v>8.9467592592592515E-3</v>
      </c>
      <c r="Y170" s="1">
        <f t="shared" si="24"/>
        <v>1.4560185185185204E-2</v>
      </c>
      <c r="Z170" s="1">
        <f t="shared" si="25"/>
        <v>2.5509259259259287E-2</v>
      </c>
      <c r="AA170" s="1">
        <f t="shared" si="26"/>
        <v>1.2615740740740122E-3</v>
      </c>
    </row>
    <row r="171" spans="1:27" x14ac:dyDescent="0.25">
      <c r="A171">
        <v>2</v>
      </c>
      <c r="B171" t="s">
        <v>585</v>
      </c>
      <c r="C171" t="s">
        <v>698</v>
      </c>
      <c r="D171">
        <v>2005</v>
      </c>
      <c r="E171" s="1">
        <v>0.75335648148148149</v>
      </c>
      <c r="F171" s="1">
        <v>0.75387731481481479</v>
      </c>
      <c r="G171" s="1">
        <v>0.76121527777777775</v>
      </c>
      <c r="H171" s="1">
        <v>0.76402777777777775</v>
      </c>
      <c r="I171" s="1">
        <v>0.76181712962962966</v>
      </c>
      <c r="J171" s="1">
        <v>0.76675925925925925</v>
      </c>
      <c r="K171" s="1">
        <v>0.76984953703703707</v>
      </c>
      <c r="L171" s="1">
        <v>0.77049768518518513</v>
      </c>
      <c r="M171" s="1">
        <v>0.77114583333333331</v>
      </c>
      <c r="N171" s="1" t="s">
        <v>54</v>
      </c>
      <c r="O171" s="1" t="s">
        <v>578</v>
      </c>
      <c r="P171" s="1" t="s">
        <v>169</v>
      </c>
      <c r="S171" s="1">
        <f t="shared" si="18"/>
        <v>5.2083333333330373E-4</v>
      </c>
      <c r="T171" s="1">
        <f t="shared" si="19"/>
        <v>7.3379629629629628E-3</v>
      </c>
      <c r="U171" s="1">
        <f t="shared" si="20"/>
        <v>6.0185185185190893E-4</v>
      </c>
      <c r="V171" s="1">
        <f t="shared" si="21"/>
        <v>2.8124999999999956E-3</v>
      </c>
      <c r="W171" s="1">
        <f t="shared" si="22"/>
        <v>2.7314814814815014E-3</v>
      </c>
      <c r="X171" s="1">
        <f t="shared" si="23"/>
        <v>8.0324074074074048E-3</v>
      </c>
      <c r="Y171" s="1">
        <f t="shared" si="24"/>
        <v>9.2824074074073781E-3</v>
      </c>
      <c r="Z171" s="1">
        <f t="shared" si="25"/>
        <v>1.778935185185182E-2</v>
      </c>
      <c r="AA171" s="1">
        <f t="shared" si="26"/>
        <v>7.8587962962962665E-3</v>
      </c>
    </row>
    <row r="172" spans="1:27" x14ac:dyDescent="0.25">
      <c r="A172">
        <v>3</v>
      </c>
      <c r="B172" t="s">
        <v>359</v>
      </c>
      <c r="C172" t="s">
        <v>640</v>
      </c>
      <c r="D172">
        <v>2009</v>
      </c>
      <c r="E172" s="1">
        <v>0.76157407407407407</v>
      </c>
      <c r="F172" s="1">
        <v>0.76172453703703702</v>
      </c>
      <c r="G172" s="1">
        <v>0.76340277777777776</v>
      </c>
      <c r="H172" s="1">
        <v>0.76968749999999997</v>
      </c>
      <c r="I172" s="1">
        <v>0.76476851851851857</v>
      </c>
      <c r="J172" s="1">
        <v>0.77359953703703699</v>
      </c>
      <c r="K172" s="1">
        <v>0.77628472222222222</v>
      </c>
      <c r="L172" s="1">
        <v>0.77855324074074073</v>
      </c>
      <c r="M172" s="1">
        <v>0.78023148148148147</v>
      </c>
      <c r="N172" s="1" t="s">
        <v>54</v>
      </c>
      <c r="O172" s="1" t="s">
        <v>578</v>
      </c>
      <c r="P172" s="1" t="s">
        <v>55</v>
      </c>
      <c r="S172" s="1">
        <f t="shared" si="18"/>
        <v>1.5046296296294948E-4</v>
      </c>
      <c r="T172" s="1">
        <f t="shared" si="19"/>
        <v>1.678240740740744E-3</v>
      </c>
      <c r="U172" s="1">
        <f t="shared" si="20"/>
        <v>1.3657407407408062E-3</v>
      </c>
      <c r="V172" s="1">
        <f t="shared" si="21"/>
        <v>6.2847222222222054E-3</v>
      </c>
      <c r="W172" s="1">
        <f t="shared" si="22"/>
        <v>3.9120370370370194E-3</v>
      </c>
      <c r="X172" s="1">
        <f t="shared" si="23"/>
        <v>1.1516203703703654E-2</v>
      </c>
      <c r="Y172" s="1">
        <f t="shared" si="24"/>
        <v>1.5150462962962963E-2</v>
      </c>
      <c r="Z172" s="1">
        <f t="shared" si="25"/>
        <v>1.86574074074074E-2</v>
      </c>
      <c r="AA172" s="1">
        <f t="shared" si="26"/>
        <v>1.8287037037036935E-3</v>
      </c>
    </row>
    <row r="173" spans="1:27" x14ac:dyDescent="0.25">
      <c r="A173">
        <v>4</v>
      </c>
      <c r="B173" t="s">
        <v>359</v>
      </c>
      <c r="C173" t="s">
        <v>666</v>
      </c>
      <c r="D173">
        <v>2014</v>
      </c>
      <c r="E173" s="1">
        <v>0.76758101851851857</v>
      </c>
      <c r="F173" s="1">
        <v>0.7678935185185185</v>
      </c>
      <c r="G173" s="1">
        <v>0.76884259259259258</v>
      </c>
      <c r="H173" s="1">
        <v>0.77249999999999996</v>
      </c>
      <c r="I173" s="1">
        <v>0.76967592592592593</v>
      </c>
      <c r="J173" s="1">
        <v>0.77591435185185187</v>
      </c>
      <c r="K173" s="1">
        <v>0.77937500000000004</v>
      </c>
      <c r="L173" s="1">
        <v>0.78003472222222225</v>
      </c>
      <c r="M173" s="1">
        <v>0.78077546296296296</v>
      </c>
      <c r="N173" s="1" t="s">
        <v>54</v>
      </c>
      <c r="O173" s="1" t="s">
        <v>34</v>
      </c>
      <c r="P173" s="1" t="s">
        <v>55</v>
      </c>
      <c r="S173" s="1">
        <f t="shared" si="18"/>
        <v>3.1249999999993783E-4</v>
      </c>
      <c r="T173" s="1">
        <f t="shared" si="19"/>
        <v>9.490740740740744E-4</v>
      </c>
      <c r="U173" s="1">
        <f t="shared" si="20"/>
        <v>8.3333333333335258E-4</v>
      </c>
      <c r="V173" s="1">
        <f t="shared" si="21"/>
        <v>3.657407407407387E-3</v>
      </c>
      <c r="W173" s="1">
        <f t="shared" si="22"/>
        <v>3.4143518518519045E-3</v>
      </c>
      <c r="X173" s="1">
        <f t="shared" si="23"/>
        <v>9.6990740740741099E-3</v>
      </c>
      <c r="Y173" s="1">
        <f t="shared" si="24"/>
        <v>1.1192129629629677E-2</v>
      </c>
      <c r="Z173" s="1">
        <f t="shared" si="25"/>
        <v>1.3194444444444398E-2</v>
      </c>
      <c r="AA173" s="1">
        <f t="shared" si="26"/>
        <v>1.2615740740740122E-3</v>
      </c>
    </row>
    <row r="174" spans="1:27" x14ac:dyDescent="0.25">
      <c r="A174">
        <v>1</v>
      </c>
      <c r="B174" t="s">
        <v>586</v>
      </c>
      <c r="C174" t="s">
        <v>430</v>
      </c>
      <c r="D174">
        <v>2003</v>
      </c>
      <c r="E174" s="1">
        <v>0.43129629629629629</v>
      </c>
      <c r="F174" s="1">
        <v>0.43155092592592592</v>
      </c>
      <c r="G174" s="1">
        <v>0.43281249999999999</v>
      </c>
      <c r="H174" s="1">
        <v>0.43494212962962964</v>
      </c>
      <c r="I174" s="1">
        <v>0.43346064814814816</v>
      </c>
      <c r="J174" s="1">
        <v>0.4357638888888889</v>
      </c>
      <c r="K174" s="1">
        <v>0.43863425925925925</v>
      </c>
      <c r="L174" s="1">
        <v>0.43896990740740743</v>
      </c>
      <c r="M174" s="1">
        <v>0.43958333333333333</v>
      </c>
      <c r="N174" s="1" t="s">
        <v>54</v>
      </c>
      <c r="O174" s="1" t="s">
        <v>34</v>
      </c>
      <c r="P174" s="1" t="s">
        <v>169</v>
      </c>
      <c r="S174" s="1">
        <f t="shared" si="18"/>
        <v>2.5462962962963243E-4</v>
      </c>
      <c r="T174" s="1">
        <f t="shared" si="19"/>
        <v>1.2615740740740677E-3</v>
      </c>
      <c r="U174" s="1">
        <f>I174-G174</f>
        <v>6.4814814814817545E-4</v>
      </c>
      <c r="V174" s="1">
        <f t="shared" si="21"/>
        <v>2.129629629629648E-3</v>
      </c>
      <c r="W174" s="1">
        <f>J174-H174</f>
        <v>8.2175925925925819E-4</v>
      </c>
      <c r="X174" s="1">
        <f t="shared" si="23"/>
        <v>5.1736111111110872E-3</v>
      </c>
      <c r="Y174" s="1">
        <f t="shared" si="24"/>
        <v>6.1574074074074447E-3</v>
      </c>
      <c r="Z174" s="1">
        <f t="shared" si="25"/>
        <v>8.2870370370370372E-3</v>
      </c>
      <c r="AA174" s="1">
        <f t="shared" si="26"/>
        <v>1.5162037037037002E-3</v>
      </c>
    </row>
    <row r="175" spans="1:27" x14ac:dyDescent="0.25">
      <c r="A175">
        <v>1</v>
      </c>
      <c r="B175" t="s">
        <v>559</v>
      </c>
      <c r="C175" t="s">
        <v>569</v>
      </c>
      <c r="D175">
        <v>2017</v>
      </c>
      <c r="E175" s="1">
        <v>0.46005787037037038</v>
      </c>
      <c r="F175" s="1">
        <v>0.46035879629629628</v>
      </c>
      <c r="G175" s="1">
        <v>0.46162037037037035</v>
      </c>
      <c r="H175" s="1">
        <v>0.46336805555555555</v>
      </c>
      <c r="I175" s="1">
        <v>0.46236111111111111</v>
      </c>
      <c r="J175" s="1">
        <v>0.46457175925925925</v>
      </c>
      <c r="K175" s="1">
        <v>0.46590277777777778</v>
      </c>
      <c r="L175" s="1">
        <v>0.4667013888888889</v>
      </c>
      <c r="M175" s="1">
        <v>0.46726851851851853</v>
      </c>
      <c r="N175" s="1" t="s">
        <v>54</v>
      </c>
      <c r="O175" s="1" t="s">
        <v>578</v>
      </c>
      <c r="P175" s="1" t="s">
        <v>55</v>
      </c>
      <c r="S175" s="1">
        <f t="shared" si="18"/>
        <v>3.0092592592589895E-4</v>
      </c>
      <c r="T175" s="1">
        <f t="shared" si="19"/>
        <v>1.2615740740740677E-3</v>
      </c>
      <c r="U175" s="1">
        <f t="shared" si="20"/>
        <v>7.4074074074076401E-4</v>
      </c>
      <c r="V175" s="1">
        <f t="shared" si="21"/>
        <v>1.7476851851851993E-3</v>
      </c>
      <c r="W175" s="1">
        <f t="shared" si="22"/>
        <v>1.2037037037037068E-3</v>
      </c>
      <c r="X175" s="1">
        <f t="shared" si="23"/>
        <v>3.5416666666666652E-3</v>
      </c>
      <c r="Y175" s="1">
        <f t="shared" si="24"/>
        <v>5.0810185185185541E-3</v>
      </c>
      <c r="Z175" s="1">
        <f t="shared" si="25"/>
        <v>7.2106481481481466E-3</v>
      </c>
      <c r="AA175" s="1">
        <f t="shared" si="26"/>
        <v>1.5624999999999667E-3</v>
      </c>
    </row>
    <row r="176" spans="1:27" x14ac:dyDescent="0.25">
      <c r="A176">
        <v>2</v>
      </c>
      <c r="B176" t="s">
        <v>560</v>
      </c>
      <c r="C176" t="s">
        <v>571</v>
      </c>
      <c r="D176">
        <v>2003</v>
      </c>
      <c r="E176" s="1">
        <v>0.46484953703703702</v>
      </c>
      <c r="F176" s="1">
        <v>0.46505787037037039</v>
      </c>
      <c r="G176" s="1">
        <v>0.46557870370370369</v>
      </c>
      <c r="H176" s="1">
        <v>0.4748263888888889</v>
      </c>
      <c r="I176" s="1">
        <v>0.47312500000000002</v>
      </c>
      <c r="J176" s="1">
        <v>0.47680555555555554</v>
      </c>
      <c r="K176" s="1">
        <v>0.48760416666666667</v>
      </c>
      <c r="L176" s="1">
        <v>0.48797453703703703</v>
      </c>
      <c r="M176" s="1">
        <v>0.48873842592592592</v>
      </c>
      <c r="N176" s="1" t="s">
        <v>550</v>
      </c>
      <c r="O176" s="1" t="s">
        <v>578</v>
      </c>
      <c r="P176" s="1" t="s">
        <v>55</v>
      </c>
      <c r="S176" s="1">
        <f t="shared" si="18"/>
        <v>2.083333333333659E-4</v>
      </c>
      <c r="T176" s="1">
        <f t="shared" si="19"/>
        <v>5.2083333333330373E-4</v>
      </c>
      <c r="U176" s="1">
        <f t="shared" si="20"/>
        <v>7.5462962962963287E-3</v>
      </c>
      <c r="V176" s="1">
        <f t="shared" si="21"/>
        <v>9.247685185185206E-3</v>
      </c>
      <c r="W176" s="1">
        <f t="shared" si="22"/>
        <v>1.979166666666643E-3</v>
      </c>
      <c r="X176" s="1">
        <f t="shared" si="23"/>
        <v>1.4479166666666654E-2</v>
      </c>
      <c r="Y176" s="1">
        <f t="shared" si="24"/>
        <v>2.2395833333333337E-2</v>
      </c>
      <c r="Z176" s="1">
        <f t="shared" si="25"/>
        <v>2.3888888888888904E-2</v>
      </c>
      <c r="AA176" s="1">
        <f t="shared" si="26"/>
        <v>7.2916666666666963E-4</v>
      </c>
    </row>
    <row r="177" spans="1:27" x14ac:dyDescent="0.25">
      <c r="A177">
        <v>4</v>
      </c>
      <c r="B177" t="s">
        <v>8</v>
      </c>
      <c r="C177" t="s">
        <v>383</v>
      </c>
      <c r="D177">
        <v>2008</v>
      </c>
      <c r="E177" s="1">
        <v>0.47193287037037035</v>
      </c>
      <c r="F177" s="1">
        <v>0.47212962962962962</v>
      </c>
      <c r="G177" s="1">
        <v>0.47302083333333333</v>
      </c>
      <c r="H177" s="1">
        <v>0.47657407407407409</v>
      </c>
      <c r="I177" s="1">
        <v>0.47394675925925928</v>
      </c>
      <c r="J177" s="1">
        <v>0.47896990740740741</v>
      </c>
      <c r="K177" s="1">
        <v>0.49815972222222221</v>
      </c>
      <c r="L177" s="1">
        <v>0.49863425925925925</v>
      </c>
      <c r="M177" s="1">
        <v>0.50002314814814819</v>
      </c>
      <c r="N177" s="1" t="s">
        <v>667</v>
      </c>
      <c r="O177" s="1" t="s">
        <v>555</v>
      </c>
      <c r="P177" s="1" t="s">
        <v>55</v>
      </c>
      <c r="S177" s="1">
        <f t="shared" si="18"/>
        <v>1.9675925925927151E-4</v>
      </c>
      <c r="T177" s="1">
        <f t="shared" si="19"/>
        <v>8.9120370370371349E-4</v>
      </c>
      <c r="U177" s="1">
        <f t="shared" si="20"/>
        <v>9.2592592592594114E-4</v>
      </c>
      <c r="V177" s="1">
        <f t="shared" si="21"/>
        <v>3.5532407407407596E-3</v>
      </c>
      <c r="W177" s="1">
        <f t="shared" si="22"/>
        <v>2.3958333333333193E-3</v>
      </c>
      <c r="X177" s="1">
        <f t="shared" si="23"/>
        <v>2.4212962962962936E-2</v>
      </c>
      <c r="Y177" s="1">
        <f t="shared" si="24"/>
        <v>2.5613425925925914E-2</v>
      </c>
      <c r="Z177" s="1">
        <f t="shared" si="25"/>
        <v>2.8090277777777839E-2</v>
      </c>
      <c r="AA177" s="1">
        <f t="shared" si="26"/>
        <v>1.087962962962985E-3</v>
      </c>
    </row>
    <row r="178" spans="1:27" x14ac:dyDescent="0.25">
      <c r="A178">
        <v>3</v>
      </c>
      <c r="B178" t="s">
        <v>572</v>
      </c>
      <c r="C178" t="s">
        <v>516</v>
      </c>
      <c r="D178">
        <v>2017</v>
      </c>
      <c r="E178" s="1">
        <v>0.47905092592592591</v>
      </c>
      <c r="F178" s="1">
        <v>0.47928240740740741</v>
      </c>
      <c r="G178" s="1">
        <v>0.48018518518518516</v>
      </c>
      <c r="H178" s="1">
        <v>0.48334490740740743</v>
      </c>
      <c r="I178" s="1">
        <v>0.48133101851851851</v>
      </c>
      <c r="J178" s="1">
        <v>0.48431712962962964</v>
      </c>
      <c r="K178" s="1">
        <v>0.48774305555555558</v>
      </c>
      <c r="L178" s="1">
        <v>0.4891550925925926</v>
      </c>
      <c r="M178" s="1">
        <v>0.49053240740740739</v>
      </c>
      <c r="N178" s="1" t="s">
        <v>54</v>
      </c>
      <c r="O178" s="1" t="s">
        <v>578</v>
      </c>
      <c r="P178" s="1" t="s">
        <v>169</v>
      </c>
      <c r="S178" s="1">
        <f t="shared" si="18"/>
        <v>2.3148148148149916E-4</v>
      </c>
      <c r="T178" s="1">
        <f t="shared" si="19"/>
        <v>9.0277777777775237E-4</v>
      </c>
      <c r="U178" s="1">
        <f t="shared" si="20"/>
        <v>1.1458333333333459E-3</v>
      </c>
      <c r="V178" s="1">
        <f t="shared" si="21"/>
        <v>3.1597222222222721E-3</v>
      </c>
      <c r="W178" s="1">
        <f t="shared" si="22"/>
        <v>9.7222222222220767E-4</v>
      </c>
      <c r="X178" s="1">
        <f t="shared" si="23"/>
        <v>6.4120370370370772E-3</v>
      </c>
      <c r="Y178" s="1">
        <f t="shared" si="24"/>
        <v>8.9699074074074403E-3</v>
      </c>
      <c r="Z178" s="1">
        <f t="shared" si="25"/>
        <v>1.1481481481481481E-2</v>
      </c>
      <c r="AA178" s="1">
        <f t="shared" si="26"/>
        <v>1.1342592592592515E-3</v>
      </c>
    </row>
    <row r="179" spans="1:27" x14ac:dyDescent="0.25">
      <c r="A179">
        <v>1</v>
      </c>
      <c r="B179" t="s">
        <v>8</v>
      </c>
      <c r="C179" t="s">
        <v>688</v>
      </c>
      <c r="D179">
        <v>2018</v>
      </c>
      <c r="E179" s="1">
        <v>0.50067129629629625</v>
      </c>
      <c r="F179" s="1">
        <v>0.50084490740740739</v>
      </c>
      <c r="G179" s="1">
        <v>0.50145833333333334</v>
      </c>
      <c r="H179" s="1">
        <v>0.50383101851851853</v>
      </c>
      <c r="I179" s="1">
        <v>0.50202546296296291</v>
      </c>
      <c r="J179" s="1">
        <v>0.50583333333333336</v>
      </c>
      <c r="K179" s="1">
        <v>0.50789351851851849</v>
      </c>
      <c r="L179" s="1">
        <v>0.50864583333333335</v>
      </c>
      <c r="M179" s="1">
        <v>0.51061342592592596</v>
      </c>
      <c r="N179" s="1" t="s">
        <v>518</v>
      </c>
      <c r="O179" s="1" t="s">
        <v>34</v>
      </c>
      <c r="P179" s="1" t="s">
        <v>55</v>
      </c>
      <c r="S179" s="1">
        <f t="shared" si="18"/>
        <v>1.7361111111113825E-4</v>
      </c>
      <c r="T179" s="1">
        <f t="shared" si="19"/>
        <v>6.134259259259478E-4</v>
      </c>
      <c r="U179" s="1">
        <f t="shared" si="20"/>
        <v>5.6712962962957025E-4</v>
      </c>
      <c r="V179" s="1">
        <f t="shared" si="21"/>
        <v>2.372685185185186E-3</v>
      </c>
      <c r="W179" s="1">
        <f t="shared" si="22"/>
        <v>2.0023148148148318E-3</v>
      </c>
      <c r="X179" s="1">
        <f t="shared" si="23"/>
        <v>5.8680555555555847E-3</v>
      </c>
      <c r="Y179" s="1">
        <f t="shared" si="24"/>
        <v>7.1875000000000133E-3</v>
      </c>
      <c r="Z179" s="1">
        <f t="shared" si="25"/>
        <v>9.9421296296297035E-3</v>
      </c>
      <c r="AA179" s="1">
        <f t="shared" si="26"/>
        <v>7.8703703703708605E-4</v>
      </c>
    </row>
    <row r="180" spans="1:27" x14ac:dyDescent="0.25">
      <c r="A180">
        <v>2</v>
      </c>
      <c r="B180" t="s">
        <v>709</v>
      </c>
      <c r="C180" t="s">
        <v>668</v>
      </c>
      <c r="D180">
        <v>2024</v>
      </c>
      <c r="E180" s="1">
        <v>0.50695601851851857</v>
      </c>
      <c r="F180" s="1">
        <v>0.50711805555555556</v>
      </c>
      <c r="G180" s="1">
        <v>0.50767361111111109</v>
      </c>
      <c r="H180" s="1">
        <v>0.50981481481481483</v>
      </c>
      <c r="I180" s="1">
        <v>0.50831018518518523</v>
      </c>
      <c r="J180" s="1">
        <v>0.5116087962962963</v>
      </c>
      <c r="K180" s="1">
        <v>0.51364583333333336</v>
      </c>
      <c r="L180" s="1">
        <v>0.51648148148148143</v>
      </c>
      <c r="M180" s="1">
        <v>0.51733796296296297</v>
      </c>
      <c r="N180" s="1" t="s">
        <v>333</v>
      </c>
      <c r="O180" s="1" t="s">
        <v>34</v>
      </c>
      <c r="P180" s="1" t="s">
        <v>55</v>
      </c>
      <c r="S180" s="1">
        <f t="shared" si="18"/>
        <v>1.6203703703698835E-4</v>
      </c>
      <c r="T180" s="1">
        <f t="shared" si="19"/>
        <v>5.5555555555553138E-4</v>
      </c>
      <c r="U180" s="1">
        <f t="shared" si="20"/>
        <v>6.3657407407413658E-4</v>
      </c>
      <c r="V180" s="1">
        <f t="shared" si="21"/>
        <v>2.1412037037037424E-3</v>
      </c>
      <c r="W180" s="1">
        <f t="shared" si="22"/>
        <v>1.7939814814814659E-3</v>
      </c>
      <c r="X180" s="1">
        <f t="shared" si="23"/>
        <v>5.335648148148131E-3</v>
      </c>
      <c r="Y180" s="1">
        <f t="shared" si="24"/>
        <v>8.8078703703703409E-3</v>
      </c>
      <c r="Z180" s="1">
        <f t="shared" si="25"/>
        <v>1.0381944444444402E-2</v>
      </c>
      <c r="AA180" s="1">
        <f t="shared" si="26"/>
        <v>7.1759259259251973E-4</v>
      </c>
    </row>
    <row r="181" spans="1:27" x14ac:dyDescent="0.25">
      <c r="A181">
        <v>3</v>
      </c>
      <c r="B181" t="s">
        <v>376</v>
      </c>
      <c r="C181" t="s">
        <v>520</v>
      </c>
      <c r="D181">
        <v>2019</v>
      </c>
      <c r="E181" s="1">
        <v>0.51172453703703702</v>
      </c>
      <c r="F181" s="1">
        <v>0.51199074074074069</v>
      </c>
      <c r="G181" s="1">
        <v>0.51275462962962959</v>
      </c>
      <c r="H181" s="1">
        <v>0.5174305555555555</v>
      </c>
      <c r="I181" s="1">
        <v>0.51355324074074071</v>
      </c>
      <c r="J181" s="1">
        <v>0.51921296296296293</v>
      </c>
      <c r="K181" s="1">
        <v>0.5277546296296296</v>
      </c>
      <c r="L181" s="1">
        <v>0.5285185185185185</v>
      </c>
      <c r="M181" s="1">
        <v>0.53144675925925922</v>
      </c>
      <c r="N181" s="1" t="s">
        <v>54</v>
      </c>
      <c r="O181" s="1" t="s">
        <v>578</v>
      </c>
      <c r="P181" s="1" t="s">
        <v>605</v>
      </c>
      <c r="S181" s="1">
        <f t="shared" si="18"/>
        <v>2.662037037036713E-4</v>
      </c>
      <c r="T181" s="1">
        <f t="shared" si="19"/>
        <v>7.6388888888889728E-4</v>
      </c>
      <c r="U181" s="1">
        <f t="shared" si="20"/>
        <v>7.9861111111112493E-4</v>
      </c>
      <c r="V181" s="1">
        <f t="shared" si="21"/>
        <v>4.6759259259259167E-3</v>
      </c>
      <c r="W181" s="1">
        <f t="shared" si="22"/>
        <v>1.782407407407427E-3</v>
      </c>
      <c r="X181" s="1">
        <f t="shared" si="23"/>
        <v>1.4201388888888888E-2</v>
      </c>
      <c r="Y181" s="1">
        <f t="shared" si="24"/>
        <v>1.5763888888888911E-2</v>
      </c>
      <c r="Z181" s="1">
        <f t="shared" si="25"/>
        <v>1.9722222222222197E-2</v>
      </c>
      <c r="AA181" s="1">
        <f t="shared" si="26"/>
        <v>1.0300925925925686E-3</v>
      </c>
    </row>
    <row r="182" spans="1:27" x14ac:dyDescent="0.25">
      <c r="A182">
        <v>1</v>
      </c>
      <c r="B182" t="s">
        <v>617</v>
      </c>
      <c r="C182" t="s">
        <v>441</v>
      </c>
      <c r="D182">
        <v>2023</v>
      </c>
      <c r="E182" s="1">
        <v>0.51771990740740736</v>
      </c>
      <c r="F182" s="1">
        <v>0.51790509259259254</v>
      </c>
      <c r="G182" s="1">
        <v>0.5191203703703704</v>
      </c>
      <c r="H182" s="1">
        <v>0.52174768518518522</v>
      </c>
      <c r="I182" s="1">
        <v>0.51993055555555556</v>
      </c>
      <c r="J182" s="1">
        <v>0.52563657407407405</v>
      </c>
      <c r="K182" s="1">
        <v>0.54972222222222222</v>
      </c>
      <c r="L182" s="1">
        <v>0.55162037037037037</v>
      </c>
      <c r="M182" s="1">
        <v>0.5554513888888889</v>
      </c>
      <c r="N182" s="1" t="s">
        <v>670</v>
      </c>
      <c r="O182" s="1" t="s">
        <v>34</v>
      </c>
      <c r="P182" s="1" t="s">
        <v>584</v>
      </c>
      <c r="S182" s="1">
        <f t="shared" si="18"/>
        <v>1.8518518518517713E-4</v>
      </c>
      <c r="T182" s="1">
        <f t="shared" si="19"/>
        <v>1.2152777777778567E-3</v>
      </c>
      <c r="U182" s="1">
        <f t="shared" si="20"/>
        <v>8.101851851851638E-4</v>
      </c>
      <c r="V182" s="1">
        <f t="shared" si="21"/>
        <v>2.6273148148148184E-3</v>
      </c>
      <c r="W182" s="1">
        <f t="shared" si="22"/>
        <v>3.8888888888888307E-3</v>
      </c>
      <c r="X182" s="1">
        <f t="shared" si="23"/>
        <v>2.9791666666666661E-2</v>
      </c>
      <c r="Y182" s="1">
        <f t="shared" si="24"/>
        <v>3.2499999999999973E-2</v>
      </c>
      <c r="Z182" s="1">
        <f t="shared" si="25"/>
        <v>3.7731481481481532E-2</v>
      </c>
      <c r="AA182" s="1">
        <f t="shared" si="26"/>
        <v>1.4004629629630339E-3</v>
      </c>
    </row>
    <row r="183" spans="1:27" x14ac:dyDescent="0.25">
      <c r="A183">
        <v>2</v>
      </c>
      <c r="B183" t="s">
        <v>586</v>
      </c>
      <c r="C183" t="s">
        <v>430</v>
      </c>
      <c r="D183">
        <v>2006</v>
      </c>
      <c r="E183" s="1">
        <v>0.51822916666666663</v>
      </c>
      <c r="F183" s="1">
        <v>0.51858796296296295</v>
      </c>
      <c r="G183" s="1">
        <v>0.52069444444444446</v>
      </c>
      <c r="H183" s="1">
        <v>0.52375000000000005</v>
      </c>
      <c r="I183" s="1">
        <v>0.52194444444444443</v>
      </c>
      <c r="J183" s="1">
        <v>0.52563657407407405</v>
      </c>
      <c r="K183" s="1">
        <v>0.5337615740740741</v>
      </c>
      <c r="L183" s="1">
        <v>0.53462962962962968</v>
      </c>
      <c r="M183" s="1">
        <v>0.53775462962962961</v>
      </c>
      <c r="N183" s="1" t="s">
        <v>54</v>
      </c>
      <c r="O183" s="1" t="s">
        <v>34</v>
      </c>
      <c r="P183" s="1" t="s">
        <v>169</v>
      </c>
      <c r="S183" s="1">
        <f t="shared" si="18"/>
        <v>3.5879629629631538E-4</v>
      </c>
      <c r="T183" s="1">
        <f t="shared" si="19"/>
        <v>2.1064814814815147E-3</v>
      </c>
      <c r="U183" s="1">
        <f t="shared" si="20"/>
        <v>1.2499999999999734E-3</v>
      </c>
      <c r="V183" s="1">
        <f t="shared" si="21"/>
        <v>3.0555555555555891E-3</v>
      </c>
      <c r="W183" s="1">
        <f t="shared" si="22"/>
        <v>1.8865740740739989E-3</v>
      </c>
      <c r="X183" s="1">
        <f t="shared" si="23"/>
        <v>1.1817129629629664E-2</v>
      </c>
      <c r="Y183" s="1">
        <f t="shared" si="24"/>
        <v>1.3935185185185217E-2</v>
      </c>
      <c r="Z183" s="1">
        <f t="shared" si="25"/>
        <v>1.9525462962962981E-2</v>
      </c>
      <c r="AA183" s="1">
        <f t="shared" si="26"/>
        <v>2.4652777777778301E-3</v>
      </c>
    </row>
    <row r="184" spans="1:27" x14ac:dyDescent="0.25">
      <c r="A184">
        <v>4</v>
      </c>
      <c r="B184" t="s">
        <v>560</v>
      </c>
      <c r="C184" t="s">
        <v>706</v>
      </c>
      <c r="D184">
        <v>2001</v>
      </c>
      <c r="E184" s="1">
        <v>0.52854166666666669</v>
      </c>
      <c r="F184" s="1">
        <v>0.52871527777777783</v>
      </c>
      <c r="G184" s="1">
        <v>0.53062500000000001</v>
      </c>
      <c r="H184" s="1">
        <v>0.53641203703703699</v>
      </c>
      <c r="I184" s="1">
        <v>0.53296296296296297</v>
      </c>
      <c r="J184" s="1">
        <v>0.53896990740740736</v>
      </c>
      <c r="K184" s="1">
        <v>0.54503472222222227</v>
      </c>
      <c r="L184" s="1">
        <v>0.54530092592592594</v>
      </c>
      <c r="M184" s="1">
        <v>0.54650462962962965</v>
      </c>
      <c r="N184" s="1" t="s">
        <v>54</v>
      </c>
      <c r="O184" s="1" t="s">
        <v>578</v>
      </c>
      <c r="P184" s="1" t="s">
        <v>55</v>
      </c>
      <c r="S184" s="1">
        <f t="shared" si="18"/>
        <v>1.7361111111113825E-4</v>
      </c>
      <c r="T184" s="1">
        <f t="shared" si="19"/>
        <v>1.9097222222221877E-3</v>
      </c>
      <c r="U184" s="1">
        <f t="shared" si="20"/>
        <v>2.3379629629629584E-3</v>
      </c>
      <c r="V184" s="1">
        <f t="shared" si="21"/>
        <v>5.7870370370369795E-3</v>
      </c>
      <c r="W184" s="1">
        <f t="shared" si="22"/>
        <v>2.5578703703703631E-3</v>
      </c>
      <c r="X184" s="1">
        <f t="shared" si="23"/>
        <v>1.2071759259259296E-2</v>
      </c>
      <c r="Y184" s="1">
        <f t="shared" si="24"/>
        <v>1.4675925925925926E-2</v>
      </c>
      <c r="Z184" s="1">
        <f t="shared" si="25"/>
        <v>1.7962962962962958E-2</v>
      </c>
      <c r="AA184" s="1">
        <f t="shared" si="26"/>
        <v>2.0833333333333259E-3</v>
      </c>
    </row>
    <row r="185" spans="1:27" x14ac:dyDescent="0.25">
      <c r="A185">
        <v>2</v>
      </c>
      <c r="B185" t="s">
        <v>8</v>
      </c>
      <c r="C185" t="s">
        <v>523</v>
      </c>
      <c r="D185">
        <v>2011</v>
      </c>
      <c r="E185" s="1">
        <v>0.53096064814814814</v>
      </c>
      <c r="F185" s="1">
        <v>0.53160879629629632</v>
      </c>
      <c r="G185" s="1">
        <v>0.53533564814814816</v>
      </c>
      <c r="H185" s="1">
        <v>0.53986111111111112</v>
      </c>
      <c r="I185" s="1">
        <v>0.53707175925925921</v>
      </c>
      <c r="J185" s="1">
        <v>0.54168981481481482</v>
      </c>
      <c r="K185" s="1">
        <v>0.55315972222222221</v>
      </c>
      <c r="L185" s="1">
        <v>0.55383101851851857</v>
      </c>
      <c r="M185" s="1">
        <v>0.55513888888888885</v>
      </c>
      <c r="N185" s="1" t="s">
        <v>54</v>
      </c>
      <c r="O185" s="1" t="s">
        <v>34</v>
      </c>
      <c r="P185" s="1" t="s">
        <v>55</v>
      </c>
      <c r="S185" s="1">
        <f t="shared" si="18"/>
        <v>6.4814814814817545E-4</v>
      </c>
      <c r="T185" s="1">
        <f t="shared" si="19"/>
        <v>3.7268518518518423E-3</v>
      </c>
      <c r="U185" s="1">
        <f t="shared" si="20"/>
        <v>1.7361111111110494E-3</v>
      </c>
      <c r="V185" s="1">
        <f t="shared" si="21"/>
        <v>4.5254629629629672E-3</v>
      </c>
      <c r="W185" s="1">
        <f t="shared" si="22"/>
        <v>1.8287037037036935E-3</v>
      </c>
      <c r="X185" s="1">
        <f t="shared" si="23"/>
        <v>1.6087962962962998E-2</v>
      </c>
      <c r="Y185" s="1">
        <f t="shared" si="24"/>
        <v>1.8495370370370412E-2</v>
      </c>
      <c r="Z185" s="1">
        <f t="shared" si="25"/>
        <v>2.4178240740740709E-2</v>
      </c>
      <c r="AA185" s="1">
        <f t="shared" si="26"/>
        <v>4.3750000000000178E-3</v>
      </c>
    </row>
    <row r="186" spans="1:27" x14ac:dyDescent="0.25">
      <c r="A186">
        <v>3</v>
      </c>
      <c r="B186" t="s">
        <v>8</v>
      </c>
      <c r="C186" t="s">
        <v>495</v>
      </c>
      <c r="D186">
        <v>2010</v>
      </c>
      <c r="E186" s="1">
        <v>0.53498842592592588</v>
      </c>
      <c r="F186" s="1">
        <v>0.5365509259259259</v>
      </c>
      <c r="G186" s="1">
        <v>0.54009259259259257</v>
      </c>
      <c r="H186" s="1">
        <v>0.54766203703703709</v>
      </c>
      <c r="I186" s="1">
        <v>0.54116898148148151</v>
      </c>
      <c r="J186" s="1">
        <v>0.55115740740740737</v>
      </c>
      <c r="K186" s="1">
        <v>0.55538194444444444</v>
      </c>
      <c r="L186" s="1">
        <v>0.55556712962962962</v>
      </c>
      <c r="M186" s="1">
        <v>0.55746527777777777</v>
      </c>
      <c r="N186" s="1" t="s">
        <v>518</v>
      </c>
      <c r="O186" s="1" t="s">
        <v>578</v>
      </c>
      <c r="P186" s="1" t="s">
        <v>55</v>
      </c>
      <c r="S186" s="1">
        <f t="shared" si="18"/>
        <v>1.5625000000000222E-3</v>
      </c>
      <c r="T186" s="1">
        <f t="shared" si="19"/>
        <v>3.5416666666666652E-3</v>
      </c>
      <c r="U186" s="1">
        <f t="shared" si="20"/>
        <v>1.0763888888889461E-3</v>
      </c>
      <c r="V186" s="1">
        <f t="shared" si="21"/>
        <v>7.5694444444445175E-3</v>
      </c>
      <c r="W186" s="1">
        <f t="shared" si="22"/>
        <v>3.4953703703702876E-3</v>
      </c>
      <c r="X186" s="1">
        <f t="shared" si="23"/>
        <v>1.4212962962962927E-2</v>
      </c>
      <c r="Y186" s="1">
        <f t="shared" si="24"/>
        <v>1.5474537037037051E-2</v>
      </c>
      <c r="Z186" s="1">
        <f t="shared" si="25"/>
        <v>2.2476851851851887E-2</v>
      </c>
      <c r="AA186" s="1">
        <f t="shared" si="26"/>
        <v>5.1041666666666874E-3</v>
      </c>
    </row>
    <row r="187" spans="1:27" x14ac:dyDescent="0.25">
      <c r="A187">
        <v>4</v>
      </c>
      <c r="B187" t="s">
        <v>585</v>
      </c>
      <c r="C187" t="s">
        <v>609</v>
      </c>
      <c r="D187">
        <v>2020</v>
      </c>
      <c r="E187" s="1">
        <v>0.54162037037037036</v>
      </c>
      <c r="F187" s="1">
        <v>0.54182870370370373</v>
      </c>
      <c r="G187" s="1">
        <v>0.54776620370370366</v>
      </c>
      <c r="H187" s="1">
        <v>0.55399305555555556</v>
      </c>
      <c r="I187" s="1">
        <v>0.55000000000000004</v>
      </c>
      <c r="J187" s="1">
        <v>0.55630787037037033</v>
      </c>
      <c r="K187" s="1">
        <v>0.56013888888888885</v>
      </c>
      <c r="L187" s="1">
        <v>0.56157407407407411</v>
      </c>
      <c r="M187" s="1">
        <v>0.56292824074074077</v>
      </c>
      <c r="N187" s="1" t="s">
        <v>343</v>
      </c>
      <c r="O187" s="1" t="s">
        <v>34</v>
      </c>
      <c r="P187" s="1" t="s">
        <v>169</v>
      </c>
      <c r="S187" s="1">
        <f t="shared" si="18"/>
        <v>2.083333333333659E-4</v>
      </c>
      <c r="T187" s="1">
        <f t="shared" si="19"/>
        <v>5.9374999999999289E-3</v>
      </c>
      <c r="U187" s="1">
        <f t="shared" si="20"/>
        <v>2.2337962962963864E-3</v>
      </c>
      <c r="V187" s="1">
        <f t="shared" si="21"/>
        <v>6.2268518518519E-3</v>
      </c>
      <c r="W187" s="1">
        <f t="shared" si="22"/>
        <v>2.3148148148147696E-3</v>
      </c>
      <c r="X187" s="1">
        <f t="shared" si="23"/>
        <v>1.0138888888888808E-2</v>
      </c>
      <c r="Y187" s="1">
        <f t="shared" si="24"/>
        <v>1.3807870370370456E-2</v>
      </c>
      <c r="Z187" s="1">
        <f t="shared" si="25"/>
        <v>2.1307870370370408E-2</v>
      </c>
      <c r="AA187" s="1">
        <f t="shared" si="26"/>
        <v>6.1458333333332948E-3</v>
      </c>
    </row>
    <row r="188" spans="1:27" x14ac:dyDescent="0.25">
      <c r="A188">
        <v>3</v>
      </c>
      <c r="B188" t="s">
        <v>687</v>
      </c>
      <c r="C188" t="s">
        <v>373</v>
      </c>
      <c r="D188">
        <v>2020</v>
      </c>
      <c r="E188" s="1">
        <v>0.56524305555555554</v>
      </c>
      <c r="F188" s="1">
        <v>0.56562500000000004</v>
      </c>
      <c r="G188" s="1">
        <v>0.56641203703703702</v>
      </c>
      <c r="H188" s="1">
        <v>0.5680439814814815</v>
      </c>
      <c r="I188" s="1">
        <v>0.56704861111111116</v>
      </c>
      <c r="J188" s="1">
        <v>0.56883101851851847</v>
      </c>
      <c r="K188" s="1">
        <v>0.57362268518518522</v>
      </c>
      <c r="L188" s="1">
        <v>0.57425925925925925</v>
      </c>
      <c r="M188" s="1">
        <v>0.57560185185185186</v>
      </c>
      <c r="N188" s="1" t="s">
        <v>333</v>
      </c>
      <c r="O188" s="1" t="s">
        <v>555</v>
      </c>
      <c r="P188" s="1" t="s">
        <v>55</v>
      </c>
      <c r="S188" s="1">
        <f t="shared" si="18"/>
        <v>3.8194444444450415E-4</v>
      </c>
      <c r="T188" s="1">
        <f t="shared" si="19"/>
        <v>7.8703703703697503E-4</v>
      </c>
      <c r="U188" s="1">
        <f t="shared" si="20"/>
        <v>6.3657407407413658E-4</v>
      </c>
      <c r="V188" s="1">
        <f t="shared" si="21"/>
        <v>1.6319444444444775E-3</v>
      </c>
      <c r="W188" s="1">
        <f t="shared" si="22"/>
        <v>7.8703703703697503E-4</v>
      </c>
      <c r="X188" s="1">
        <f t="shared" si="23"/>
        <v>6.5740740740740655E-3</v>
      </c>
      <c r="Y188" s="1">
        <f t="shared" si="24"/>
        <v>7.8472222222222276E-3</v>
      </c>
      <c r="Z188" s="1">
        <f t="shared" si="25"/>
        <v>1.0358796296296324E-2</v>
      </c>
      <c r="AA188" s="1">
        <f t="shared" si="26"/>
        <v>1.1689814814814792E-3</v>
      </c>
    </row>
    <row r="189" spans="1:27" x14ac:dyDescent="0.25">
      <c r="A189">
        <v>2</v>
      </c>
      <c r="B189" t="s">
        <v>580</v>
      </c>
      <c r="C189" t="s">
        <v>654</v>
      </c>
      <c r="D189">
        <v>2019</v>
      </c>
      <c r="E189" s="1">
        <v>0.56993055555555561</v>
      </c>
      <c r="F189" s="1">
        <v>0.57020833333333332</v>
      </c>
      <c r="G189" s="1">
        <v>0.57098379629629625</v>
      </c>
      <c r="H189" s="1">
        <v>0.57383101851851848</v>
      </c>
      <c r="I189" s="1">
        <v>0.57239583333333333</v>
      </c>
      <c r="J189" s="1">
        <v>0.57597222222222222</v>
      </c>
      <c r="K189" s="1">
        <v>0.58101851851851849</v>
      </c>
      <c r="L189" s="1">
        <v>0.58390046296296294</v>
      </c>
      <c r="M189" s="1">
        <v>0.58496527777777774</v>
      </c>
      <c r="N189" s="1" t="s">
        <v>54</v>
      </c>
      <c r="O189" s="1" t="s">
        <v>555</v>
      </c>
      <c r="P189" s="1" t="s">
        <v>169</v>
      </c>
      <c r="S189" s="1">
        <f t="shared" si="18"/>
        <v>2.7777777777771018E-4</v>
      </c>
      <c r="T189" s="1">
        <f t="shared" si="19"/>
        <v>7.7546296296293615E-4</v>
      </c>
      <c r="U189" s="1">
        <f t="shared" si="20"/>
        <v>1.4120370370370727E-3</v>
      </c>
      <c r="V189" s="1">
        <f t="shared" si="21"/>
        <v>2.8472222222222232E-3</v>
      </c>
      <c r="W189" s="1">
        <f t="shared" si="22"/>
        <v>2.1412037037037424E-3</v>
      </c>
      <c r="X189" s="1">
        <f t="shared" si="23"/>
        <v>8.6226851851851638E-3</v>
      </c>
      <c r="Y189" s="1">
        <f t="shared" si="24"/>
        <v>1.2916666666666687E-2</v>
      </c>
      <c r="Z189" s="1">
        <f t="shared" si="25"/>
        <v>1.503472222222213E-2</v>
      </c>
      <c r="AA189" s="1">
        <f t="shared" si="26"/>
        <v>1.0532407407406463E-3</v>
      </c>
    </row>
    <row r="190" spans="1:27" x14ac:dyDescent="0.25">
      <c r="A190">
        <v>3</v>
      </c>
      <c r="B190" t="s">
        <v>585</v>
      </c>
      <c r="C190" t="s">
        <v>703</v>
      </c>
      <c r="D190">
        <v>2009</v>
      </c>
      <c r="E190" s="1">
        <v>0.57567129629629632</v>
      </c>
      <c r="F190" s="1">
        <v>0.57584490740740746</v>
      </c>
      <c r="G190" s="1">
        <v>0.57697916666666671</v>
      </c>
      <c r="H190" s="1">
        <v>0.58027777777777778</v>
      </c>
      <c r="I190" s="1">
        <v>0.57850694444444439</v>
      </c>
      <c r="J190" s="1">
        <v>0.58268518518518519</v>
      </c>
      <c r="K190" s="1">
        <v>0.58579861111111109</v>
      </c>
      <c r="L190" s="1">
        <v>0.58740740740740738</v>
      </c>
      <c r="M190" s="1">
        <v>0.58848379629629632</v>
      </c>
      <c r="N190" s="1" t="s">
        <v>707</v>
      </c>
      <c r="O190" s="1" t="s">
        <v>578</v>
      </c>
      <c r="P190" s="1" t="s">
        <v>169</v>
      </c>
      <c r="S190" s="1">
        <f t="shared" si="18"/>
        <v>1.7361111111113825E-4</v>
      </c>
      <c r="T190" s="1">
        <f t="shared" si="19"/>
        <v>1.1342592592592515E-3</v>
      </c>
      <c r="U190" s="1">
        <f t="shared" si="20"/>
        <v>1.5277777777776835E-3</v>
      </c>
      <c r="V190" s="1">
        <f t="shared" si="21"/>
        <v>3.2986111111110716E-3</v>
      </c>
      <c r="W190" s="1">
        <f t="shared" si="22"/>
        <v>2.4074074074074137E-3</v>
      </c>
      <c r="X190" s="1">
        <f t="shared" si="23"/>
        <v>7.2916666666666963E-3</v>
      </c>
      <c r="Y190" s="1">
        <f t="shared" si="24"/>
        <v>1.0428240740740669E-2</v>
      </c>
      <c r="Z190" s="1">
        <f t="shared" si="25"/>
        <v>1.2812500000000004E-2</v>
      </c>
      <c r="AA190" s="1">
        <f t="shared" si="26"/>
        <v>1.3078703703703898E-3</v>
      </c>
    </row>
    <row r="191" spans="1:27" x14ac:dyDescent="0.25">
      <c r="A191">
        <v>4</v>
      </c>
      <c r="B191" t="s">
        <v>559</v>
      </c>
      <c r="C191" t="s">
        <v>525</v>
      </c>
      <c r="D191">
        <v>2022</v>
      </c>
      <c r="E191" s="1">
        <v>0.57828703703703699</v>
      </c>
      <c r="F191" s="1">
        <v>0.57840277777777782</v>
      </c>
      <c r="G191" s="1">
        <v>0.57928240740740744</v>
      </c>
      <c r="H191" s="1">
        <v>0.58439814814814817</v>
      </c>
      <c r="I191" s="1">
        <v>0.58067129629629632</v>
      </c>
      <c r="J191" s="1">
        <v>0.58648148148148149</v>
      </c>
      <c r="K191" s="1">
        <v>0.58936342592592594</v>
      </c>
      <c r="L191" s="1">
        <v>0.59002314814814816</v>
      </c>
      <c r="M191" s="1">
        <v>0.59060185185185188</v>
      </c>
      <c r="N191" s="1" t="s">
        <v>54</v>
      </c>
      <c r="O191" s="1" t="s">
        <v>555</v>
      </c>
      <c r="P191" s="1" t="s">
        <v>55</v>
      </c>
      <c r="S191" s="1">
        <f t="shared" si="18"/>
        <v>1.1574074074083285E-4</v>
      </c>
      <c r="T191" s="1">
        <f t="shared" si="19"/>
        <v>8.796296296296191E-4</v>
      </c>
      <c r="U191" s="1">
        <f t="shared" si="20"/>
        <v>1.388888888888884E-3</v>
      </c>
      <c r="V191" s="1">
        <f t="shared" si="21"/>
        <v>5.1157407407407263E-3</v>
      </c>
      <c r="W191" s="1">
        <f t="shared" si="22"/>
        <v>2.0833333333333259E-3</v>
      </c>
      <c r="X191" s="1">
        <f t="shared" si="23"/>
        <v>8.6921296296296191E-3</v>
      </c>
      <c r="Y191" s="1">
        <f t="shared" si="24"/>
        <v>1.0740740740740717E-2</v>
      </c>
      <c r="Z191" s="1">
        <f t="shared" si="25"/>
        <v>1.2314814814814889E-2</v>
      </c>
      <c r="AA191" s="1">
        <f t="shared" si="26"/>
        <v>9.9537037037045195E-4</v>
      </c>
    </row>
    <row r="192" spans="1:27" x14ac:dyDescent="0.25">
      <c r="A192">
        <v>1</v>
      </c>
      <c r="B192" t="s">
        <v>559</v>
      </c>
      <c r="C192" t="s">
        <v>700</v>
      </c>
      <c r="D192">
        <v>2011</v>
      </c>
      <c r="E192" s="1">
        <v>0.59016203703703707</v>
      </c>
      <c r="F192" s="1">
        <v>0.59040509259259255</v>
      </c>
      <c r="G192" s="1">
        <v>0.59084490740740736</v>
      </c>
      <c r="H192" s="1">
        <v>0.59304398148148152</v>
      </c>
      <c r="I192" s="1">
        <v>0.59188657407407408</v>
      </c>
      <c r="J192" s="1">
        <v>0.59560185185185188</v>
      </c>
      <c r="K192" s="1">
        <v>0.60709490740740746</v>
      </c>
      <c r="L192" s="1">
        <v>0.6074074074074074</v>
      </c>
      <c r="M192" s="1">
        <v>0.6090740740740741</v>
      </c>
      <c r="N192" s="1" t="s">
        <v>526</v>
      </c>
      <c r="O192" s="1" t="s">
        <v>34</v>
      </c>
      <c r="P192" s="1" t="s">
        <v>55</v>
      </c>
      <c r="S192" s="1">
        <f t="shared" si="18"/>
        <v>2.4305555555548253E-4</v>
      </c>
      <c r="T192" s="1">
        <f t="shared" si="19"/>
        <v>4.3981481481480955E-4</v>
      </c>
      <c r="U192" s="1">
        <f t="shared" si="20"/>
        <v>1.0416666666667185E-3</v>
      </c>
      <c r="V192" s="1">
        <f t="shared" si="21"/>
        <v>2.1990740740741588E-3</v>
      </c>
      <c r="W192" s="1">
        <f t="shared" si="22"/>
        <v>2.5578703703703631E-3</v>
      </c>
      <c r="X192" s="1">
        <f t="shared" si="23"/>
        <v>1.5208333333333379E-2</v>
      </c>
      <c r="Y192" s="1">
        <f t="shared" si="24"/>
        <v>1.6562500000000036E-2</v>
      </c>
      <c r="Z192" s="1">
        <f t="shared" si="25"/>
        <v>1.8912037037037033E-2</v>
      </c>
      <c r="AA192" s="1">
        <f t="shared" si="26"/>
        <v>6.8287037037029208E-4</v>
      </c>
    </row>
    <row r="193" spans="1:27" x14ac:dyDescent="0.25">
      <c r="A193">
        <v>2</v>
      </c>
      <c r="B193" t="s">
        <v>582</v>
      </c>
      <c r="C193" t="s">
        <v>573</v>
      </c>
      <c r="D193">
        <v>2022</v>
      </c>
      <c r="E193" s="1">
        <v>0.5901967592592593</v>
      </c>
      <c r="F193" s="1">
        <v>0.59057870370370369</v>
      </c>
      <c r="G193" s="1">
        <v>0.5913194444444444</v>
      </c>
      <c r="H193" s="1">
        <v>0.5957986111111111</v>
      </c>
      <c r="I193" s="1">
        <v>0.5923032407407407</v>
      </c>
      <c r="J193" s="1">
        <v>0.59996527777777775</v>
      </c>
      <c r="K193" s="1">
        <v>0.60539351851851853</v>
      </c>
      <c r="L193" s="1">
        <v>0.60584490740740737</v>
      </c>
      <c r="M193" s="1">
        <v>0.60811342592592588</v>
      </c>
      <c r="N193" s="1" t="s">
        <v>333</v>
      </c>
      <c r="O193" s="1" t="s">
        <v>34</v>
      </c>
      <c r="P193" s="1" t="s">
        <v>584</v>
      </c>
      <c r="S193" s="1">
        <f t="shared" si="18"/>
        <v>3.8194444444439313E-4</v>
      </c>
      <c r="T193" s="1">
        <f t="shared" si="19"/>
        <v>7.407407407407085E-4</v>
      </c>
      <c r="U193" s="1">
        <f t="shared" si="20"/>
        <v>9.8379629629630205E-4</v>
      </c>
      <c r="V193" s="1">
        <f t="shared" si="21"/>
        <v>4.4791666666667007E-3</v>
      </c>
      <c r="W193" s="1">
        <f t="shared" si="22"/>
        <v>4.1666666666666519E-3</v>
      </c>
      <c r="X193" s="1">
        <f t="shared" si="23"/>
        <v>1.3090277777777826E-2</v>
      </c>
      <c r="Y193" s="1">
        <f t="shared" si="24"/>
        <v>1.4525462962962976E-2</v>
      </c>
      <c r="Z193" s="1">
        <f t="shared" si="25"/>
        <v>1.7916666666666581E-2</v>
      </c>
      <c r="AA193" s="1">
        <f t="shared" si="26"/>
        <v>1.1226851851851016E-3</v>
      </c>
    </row>
    <row r="194" spans="1:27" x14ac:dyDescent="0.25">
      <c r="A194">
        <v>4</v>
      </c>
      <c r="B194" t="s">
        <v>559</v>
      </c>
      <c r="C194" t="s">
        <v>525</v>
      </c>
      <c r="D194">
        <v>2023</v>
      </c>
      <c r="E194" s="1">
        <v>0.59737268518518516</v>
      </c>
      <c r="F194" s="1">
        <v>0.59755787037037034</v>
      </c>
      <c r="G194" s="1">
        <v>0.59914351851851855</v>
      </c>
      <c r="H194" s="1">
        <v>0.60503472222222221</v>
      </c>
      <c r="I194" s="1">
        <v>0.60093750000000001</v>
      </c>
      <c r="J194" s="1">
        <v>0.60503472222222221</v>
      </c>
      <c r="K194" s="1">
        <v>0.61597222222222225</v>
      </c>
      <c r="L194" s="1">
        <v>0.62740740740740741</v>
      </c>
      <c r="M194" s="1">
        <v>0.62792824074074072</v>
      </c>
      <c r="N194" s="1" t="s">
        <v>551</v>
      </c>
      <c r="O194" s="1" t="s">
        <v>555</v>
      </c>
      <c r="P194" s="1" t="s">
        <v>55</v>
      </c>
      <c r="S194" s="1">
        <f t="shared" si="18"/>
        <v>1.8518518518517713E-4</v>
      </c>
      <c r="T194" s="1">
        <f t="shared" si="19"/>
        <v>1.585648148148211E-3</v>
      </c>
      <c r="U194" s="1">
        <f t="shared" si="20"/>
        <v>1.7939814814814659E-3</v>
      </c>
      <c r="V194" s="1">
        <f t="shared" si="21"/>
        <v>5.8912037037036624E-3</v>
      </c>
      <c r="W194" s="1">
        <f t="shared" si="22"/>
        <v>0</v>
      </c>
      <c r="X194" s="1">
        <f t="shared" si="23"/>
        <v>1.5034722222222241E-2</v>
      </c>
      <c r="Y194" s="1">
        <f t="shared" si="24"/>
        <v>2.8263888888888866E-2</v>
      </c>
      <c r="Z194" s="1">
        <f t="shared" si="25"/>
        <v>3.0555555555555558E-2</v>
      </c>
      <c r="AA194" s="1">
        <f t="shared" si="26"/>
        <v>1.7708333333333881E-3</v>
      </c>
    </row>
    <row r="195" spans="1:27" x14ac:dyDescent="0.25">
      <c r="A195">
        <v>3</v>
      </c>
      <c r="B195" t="s">
        <v>559</v>
      </c>
      <c r="C195" t="s">
        <v>569</v>
      </c>
      <c r="D195">
        <v>2014</v>
      </c>
      <c r="E195" s="1">
        <v>0.601099537037037</v>
      </c>
      <c r="F195" s="1">
        <v>0.60121527777777772</v>
      </c>
      <c r="G195" s="1">
        <v>0.60409722222222217</v>
      </c>
      <c r="H195" s="1">
        <v>0.60946759259259264</v>
      </c>
      <c r="I195" s="1">
        <v>0.60481481481481481</v>
      </c>
      <c r="J195" s="1">
        <v>0.61223379629629626</v>
      </c>
      <c r="K195" s="1">
        <v>0.62072916666666667</v>
      </c>
      <c r="L195" s="1">
        <v>0.62105324074074075</v>
      </c>
      <c r="M195" s="1">
        <v>0.62333333333333329</v>
      </c>
      <c r="N195" s="1" t="s">
        <v>708</v>
      </c>
      <c r="O195" s="1" t="s">
        <v>578</v>
      </c>
      <c r="P195" s="1" t="s">
        <v>55</v>
      </c>
      <c r="S195" s="1">
        <f t="shared" ref="S195:S206" si="27">F195-E195</f>
        <v>1.1574074074072183E-4</v>
      </c>
      <c r="T195" s="1">
        <f t="shared" ref="T195:T206" si="28">G195-F195</f>
        <v>2.8819444444444509E-3</v>
      </c>
      <c r="U195" s="1">
        <f t="shared" ref="U195:U206" si="29">I195-G195</f>
        <v>7.1759259259263075E-4</v>
      </c>
      <c r="V195" s="1">
        <f t="shared" ref="V195:V206" si="30">H195-G195</f>
        <v>5.3703703703704697E-3</v>
      </c>
      <c r="W195" s="1">
        <f t="shared" ref="W195:W206" si="31">J195-H195</f>
        <v>2.766203703703618E-3</v>
      </c>
      <c r="X195" s="1">
        <f t="shared" ref="X195:X206" si="32">K195-I195</f>
        <v>1.591435185185186E-2</v>
      </c>
      <c r="Y195" s="1">
        <f t="shared" ref="Y195:Y206" si="33">L195-G195</f>
        <v>1.6956018518518579E-2</v>
      </c>
      <c r="Z195" s="1">
        <f t="shared" ref="Z195:Z206" si="34">M195-E195</f>
        <v>2.2233796296296293E-2</v>
      </c>
      <c r="AA195" s="1">
        <f t="shared" ref="AA195:AA206" si="35">T195+S195</f>
        <v>2.9976851851851727E-3</v>
      </c>
    </row>
    <row r="196" spans="1:27" x14ac:dyDescent="0.25">
      <c r="A196">
        <v>2</v>
      </c>
      <c r="B196" t="s">
        <v>561</v>
      </c>
      <c r="C196" t="s">
        <v>641</v>
      </c>
      <c r="D196">
        <v>2019</v>
      </c>
      <c r="E196" s="1">
        <v>0.60112268518518519</v>
      </c>
      <c r="F196" s="1">
        <v>0.60136574074074078</v>
      </c>
      <c r="G196" s="1">
        <v>0.60771990740740744</v>
      </c>
      <c r="H196" s="1">
        <v>0.61168981481481477</v>
      </c>
      <c r="I196" s="1">
        <v>0.60837962962962966</v>
      </c>
      <c r="J196" s="1">
        <v>0.61515046296296294</v>
      </c>
      <c r="K196" s="1">
        <v>0.62012731481481487</v>
      </c>
      <c r="L196" s="1">
        <v>0.62076388888888889</v>
      </c>
      <c r="M196" s="1">
        <v>0.62152777777777779</v>
      </c>
      <c r="N196" s="1" t="s">
        <v>343</v>
      </c>
      <c r="O196" s="1" t="s">
        <v>34</v>
      </c>
      <c r="P196" s="1" t="s">
        <v>55</v>
      </c>
      <c r="S196" s="1">
        <f t="shared" si="27"/>
        <v>2.4305555555559355E-4</v>
      </c>
      <c r="T196" s="1">
        <f t="shared" si="28"/>
        <v>6.3541666666666607E-3</v>
      </c>
      <c r="U196" s="1">
        <f t="shared" si="29"/>
        <v>6.5972222222221433E-4</v>
      </c>
      <c r="V196" s="1">
        <f t="shared" si="30"/>
        <v>3.9699074074073248E-3</v>
      </c>
      <c r="W196" s="1">
        <f t="shared" si="31"/>
        <v>3.460648148148171E-3</v>
      </c>
      <c r="X196" s="1">
        <f t="shared" si="32"/>
        <v>1.1747685185185208E-2</v>
      </c>
      <c r="Y196" s="1">
        <f t="shared" si="33"/>
        <v>1.3043981481481448E-2</v>
      </c>
      <c r="Z196" s="1">
        <f t="shared" si="34"/>
        <v>2.04050925925926E-2</v>
      </c>
      <c r="AA196" s="1">
        <f t="shared" si="35"/>
        <v>6.5972222222222543E-3</v>
      </c>
    </row>
    <row r="197" spans="1:27" x14ac:dyDescent="0.25">
      <c r="A197">
        <v>1</v>
      </c>
      <c r="B197" t="s">
        <v>11</v>
      </c>
      <c r="C197" t="s">
        <v>627</v>
      </c>
      <c r="D197">
        <v>2023</v>
      </c>
      <c r="E197" s="1">
        <v>0.60966435185185186</v>
      </c>
      <c r="F197" s="1">
        <v>0.60982638888888885</v>
      </c>
      <c r="G197" s="1">
        <v>0.61165509259259254</v>
      </c>
      <c r="H197" s="1">
        <v>0.6157407407407407</v>
      </c>
      <c r="I197" s="1">
        <v>0.61371527777777779</v>
      </c>
      <c r="J197" s="1">
        <v>0.61884259259259256</v>
      </c>
      <c r="K197" s="1">
        <v>0.62483796296296301</v>
      </c>
      <c r="L197" s="1">
        <v>0.63177083333333328</v>
      </c>
      <c r="M197" s="1">
        <v>0.63615740740740745</v>
      </c>
      <c r="N197" s="1" t="s">
        <v>291</v>
      </c>
      <c r="O197" s="1" t="s">
        <v>34</v>
      </c>
      <c r="P197" s="1" t="s">
        <v>55</v>
      </c>
      <c r="S197" s="1">
        <f t="shared" si="27"/>
        <v>1.6203703703698835E-4</v>
      </c>
      <c r="T197" s="1">
        <f t="shared" si="28"/>
        <v>1.8287037037036935E-3</v>
      </c>
      <c r="U197" s="1">
        <f t="shared" si="29"/>
        <v>2.0601851851852482E-3</v>
      </c>
      <c r="V197" s="1">
        <f t="shared" si="30"/>
        <v>4.0856481481481577E-3</v>
      </c>
      <c r="W197" s="1">
        <f t="shared" si="31"/>
        <v>3.1018518518518556E-3</v>
      </c>
      <c r="X197" s="1">
        <f t="shared" si="32"/>
        <v>1.1122685185185222E-2</v>
      </c>
      <c r="Y197" s="1">
        <f t="shared" si="33"/>
        <v>2.011574074074074E-2</v>
      </c>
      <c r="Z197" s="1">
        <f t="shared" si="34"/>
        <v>2.6493055555555589E-2</v>
      </c>
      <c r="AA197" s="1">
        <f t="shared" si="35"/>
        <v>1.9907407407406819E-3</v>
      </c>
    </row>
    <row r="198" spans="1:27" x14ac:dyDescent="0.25">
      <c r="A198">
        <v>2</v>
      </c>
      <c r="B198" t="s">
        <v>559</v>
      </c>
      <c r="C198" t="s">
        <v>574</v>
      </c>
      <c r="D198">
        <v>2022</v>
      </c>
      <c r="E198" s="1">
        <v>0.61236111111111113</v>
      </c>
      <c r="F198" s="1">
        <v>0.61315972222222226</v>
      </c>
      <c r="G198" s="1">
        <v>0.62250000000000005</v>
      </c>
      <c r="H198" s="1">
        <v>0.62701388888888887</v>
      </c>
      <c r="I198" s="1">
        <v>0.62509259259259264</v>
      </c>
      <c r="J198" s="1">
        <v>0.62935185185185183</v>
      </c>
      <c r="K198" s="1">
        <v>0.63945601851851852</v>
      </c>
      <c r="L198" s="1">
        <v>0.6409259259259259</v>
      </c>
      <c r="M198" s="1">
        <v>0.64453703703703702</v>
      </c>
      <c r="N198" s="1" t="s">
        <v>54</v>
      </c>
      <c r="O198" s="1" t="s">
        <v>555</v>
      </c>
      <c r="P198" s="1" t="s">
        <v>55</v>
      </c>
      <c r="S198" s="1">
        <f t="shared" si="27"/>
        <v>7.9861111111112493E-4</v>
      </c>
      <c r="T198" s="1">
        <f t="shared" si="28"/>
        <v>9.3402777777777946E-3</v>
      </c>
      <c r="U198" s="1">
        <f t="shared" si="29"/>
        <v>2.5925925925925908E-3</v>
      </c>
      <c r="V198" s="1">
        <f t="shared" si="30"/>
        <v>4.5138888888888173E-3</v>
      </c>
      <c r="W198" s="1">
        <f t="shared" si="31"/>
        <v>2.3379629629629584E-3</v>
      </c>
      <c r="X198" s="1">
        <f t="shared" si="32"/>
        <v>1.4363425925925877E-2</v>
      </c>
      <c r="Y198" s="1">
        <f t="shared" si="33"/>
        <v>1.8425925925925846E-2</v>
      </c>
      <c r="Z198" s="1">
        <f t="shared" si="34"/>
        <v>3.2175925925925886E-2</v>
      </c>
      <c r="AA198" s="1">
        <f t="shared" si="35"/>
        <v>1.0138888888888919E-2</v>
      </c>
    </row>
    <row r="199" spans="1:27" x14ac:dyDescent="0.25">
      <c r="A199">
        <v>3</v>
      </c>
      <c r="B199" t="s">
        <v>8</v>
      </c>
      <c r="C199" t="s">
        <v>239</v>
      </c>
      <c r="D199">
        <v>2024</v>
      </c>
      <c r="E199" s="1">
        <v>0.62211805555555555</v>
      </c>
      <c r="F199" s="1">
        <v>0.62231481481481477</v>
      </c>
      <c r="G199" s="1">
        <v>0.62461805555555561</v>
      </c>
      <c r="H199" s="1">
        <v>0.62827546296296299</v>
      </c>
      <c r="I199" s="1">
        <v>0.62612268518518521</v>
      </c>
      <c r="J199" s="1">
        <v>0.63043981481481481</v>
      </c>
      <c r="K199" s="1">
        <v>0.63574074074074072</v>
      </c>
      <c r="L199" s="1">
        <v>0.63854166666666667</v>
      </c>
      <c r="M199" s="1">
        <v>0.64047453703703705</v>
      </c>
      <c r="N199" s="1" t="s">
        <v>365</v>
      </c>
      <c r="O199" s="1" t="s">
        <v>555</v>
      </c>
      <c r="P199" s="1" t="s">
        <v>55</v>
      </c>
      <c r="S199" s="1">
        <f t="shared" si="27"/>
        <v>1.96759259259216E-4</v>
      </c>
      <c r="T199" s="1">
        <f t="shared" si="28"/>
        <v>2.3032407407408417E-3</v>
      </c>
      <c r="U199" s="1">
        <f t="shared" si="29"/>
        <v>1.5046296296296058E-3</v>
      </c>
      <c r="V199" s="1">
        <f t="shared" si="30"/>
        <v>3.657407407407387E-3</v>
      </c>
      <c r="W199" s="1">
        <f t="shared" si="31"/>
        <v>2.1643518518518201E-3</v>
      </c>
      <c r="X199" s="1">
        <f t="shared" si="32"/>
        <v>9.6180555555555047E-3</v>
      </c>
      <c r="Y199" s="1">
        <f t="shared" si="33"/>
        <v>1.3923611111111067E-2</v>
      </c>
      <c r="Z199" s="1">
        <f t="shared" si="34"/>
        <v>1.8356481481481501E-2</v>
      </c>
      <c r="AA199" s="1">
        <f t="shared" si="35"/>
        <v>2.5000000000000577E-3</v>
      </c>
    </row>
    <row r="200" spans="1:27" x14ac:dyDescent="0.25">
      <c r="A200">
        <v>1</v>
      </c>
      <c r="B200" t="s">
        <v>586</v>
      </c>
      <c r="C200" t="s">
        <v>658</v>
      </c>
      <c r="D200">
        <v>2014</v>
      </c>
      <c r="E200" s="1">
        <v>0.64729166666666671</v>
      </c>
      <c r="F200" s="1">
        <v>0.64746527777777774</v>
      </c>
      <c r="G200" s="1">
        <v>0.64855324074074072</v>
      </c>
      <c r="H200" s="1">
        <v>0.65011574074074074</v>
      </c>
      <c r="I200" s="1">
        <v>0.64916666666666667</v>
      </c>
      <c r="J200" s="1">
        <v>0.65300925925925923</v>
      </c>
      <c r="K200" s="1">
        <v>0.66449074074074077</v>
      </c>
      <c r="L200" s="1">
        <v>0.66502314814814811</v>
      </c>
      <c r="M200" s="1">
        <v>0.6662731481481482</v>
      </c>
      <c r="N200" s="1" t="s">
        <v>532</v>
      </c>
      <c r="O200" s="1" t="s">
        <v>578</v>
      </c>
      <c r="P200" s="1" t="s">
        <v>169</v>
      </c>
      <c r="S200" s="1">
        <f t="shared" si="27"/>
        <v>1.7361111111102723E-4</v>
      </c>
      <c r="T200" s="1">
        <f t="shared" si="28"/>
        <v>1.087962962962985E-3</v>
      </c>
      <c r="U200" s="1">
        <f t="shared" si="29"/>
        <v>6.134259259259478E-4</v>
      </c>
      <c r="V200" s="1">
        <f t="shared" si="30"/>
        <v>1.5625000000000222E-3</v>
      </c>
      <c r="W200" s="1">
        <f t="shared" si="31"/>
        <v>2.8935185185184897E-3</v>
      </c>
      <c r="X200" s="1">
        <f t="shared" si="32"/>
        <v>1.5324074074074101E-2</v>
      </c>
      <c r="Y200" s="1">
        <f t="shared" si="33"/>
        <v>1.6469907407407391E-2</v>
      </c>
      <c r="Z200" s="1">
        <f t="shared" si="34"/>
        <v>1.8981481481481488E-2</v>
      </c>
      <c r="AA200" s="1">
        <f t="shared" si="35"/>
        <v>1.2615740740740122E-3</v>
      </c>
    </row>
    <row r="201" spans="1:27" x14ac:dyDescent="0.25">
      <c r="A201">
        <v>3</v>
      </c>
      <c r="B201" t="s">
        <v>585</v>
      </c>
      <c r="C201" t="s">
        <v>533</v>
      </c>
      <c r="D201">
        <v>2012</v>
      </c>
      <c r="E201" s="1">
        <v>0.66054398148148152</v>
      </c>
      <c r="F201" s="1">
        <v>0.66081018518518519</v>
      </c>
      <c r="G201" s="1">
        <v>0.66170138888888885</v>
      </c>
      <c r="H201" s="1">
        <v>0.66593749999999996</v>
      </c>
      <c r="I201" s="1">
        <v>0.66370370370370368</v>
      </c>
      <c r="J201" s="1">
        <v>0.66744212962962968</v>
      </c>
      <c r="K201" s="1">
        <v>0.6711111111111111</v>
      </c>
      <c r="L201" s="1">
        <v>0.67218750000000005</v>
      </c>
      <c r="M201" s="1">
        <v>0.67343750000000002</v>
      </c>
      <c r="N201" s="1" t="s">
        <v>534</v>
      </c>
      <c r="O201" s="1" t="s">
        <v>555</v>
      </c>
      <c r="P201" s="1" t="s">
        <v>169</v>
      </c>
      <c r="S201" s="1">
        <f t="shared" si="27"/>
        <v>2.662037037036713E-4</v>
      </c>
      <c r="T201" s="1">
        <f t="shared" si="28"/>
        <v>8.9120370370365798E-4</v>
      </c>
      <c r="U201" s="1">
        <f t="shared" si="29"/>
        <v>2.0023148148148318E-3</v>
      </c>
      <c r="V201" s="1">
        <f t="shared" si="30"/>
        <v>4.2361111111111072E-3</v>
      </c>
      <c r="W201" s="1">
        <f t="shared" si="31"/>
        <v>1.5046296296297168E-3</v>
      </c>
      <c r="X201" s="1">
        <f t="shared" si="32"/>
        <v>7.4074074074074181E-3</v>
      </c>
      <c r="Y201" s="1">
        <f t="shared" si="33"/>
        <v>1.0486111111111196E-2</v>
      </c>
      <c r="Z201" s="1">
        <f t="shared" si="34"/>
        <v>1.2893518518518499E-2</v>
      </c>
      <c r="AA201" s="1">
        <f t="shared" si="35"/>
        <v>1.1574074074073293E-3</v>
      </c>
    </row>
    <row r="202" spans="1:27" x14ac:dyDescent="0.25">
      <c r="A202">
        <v>1</v>
      </c>
      <c r="B202" t="s">
        <v>580</v>
      </c>
      <c r="C202" t="s">
        <v>689</v>
      </c>
      <c r="D202">
        <v>2017</v>
      </c>
      <c r="E202" s="1">
        <v>0.67833333333333334</v>
      </c>
      <c r="F202" s="1">
        <v>0.67853009259259256</v>
      </c>
      <c r="G202" s="1">
        <v>0.68012731481481481</v>
      </c>
      <c r="H202" s="1">
        <v>0.68181712962962959</v>
      </c>
      <c r="I202" s="1">
        <v>0.68076388888888884</v>
      </c>
      <c r="J202" s="1">
        <v>0.68407407407407406</v>
      </c>
      <c r="K202" s="1">
        <v>0.68656249999999996</v>
      </c>
      <c r="L202" s="1">
        <v>0.68693287037037032</v>
      </c>
      <c r="M202" s="1">
        <v>0.68800925925925926</v>
      </c>
      <c r="N202" s="1" t="s">
        <v>534</v>
      </c>
      <c r="O202" s="1" t="s">
        <v>578</v>
      </c>
      <c r="P202" s="1" t="s">
        <v>169</v>
      </c>
      <c r="S202" s="1">
        <f t="shared" si="27"/>
        <v>1.96759259259216E-4</v>
      </c>
      <c r="T202" s="1">
        <f t="shared" si="28"/>
        <v>1.5972222222222499E-3</v>
      </c>
      <c r="U202" s="1">
        <f t="shared" si="29"/>
        <v>6.3657407407402555E-4</v>
      </c>
      <c r="V202" s="1">
        <f t="shared" si="30"/>
        <v>1.6898148148147829E-3</v>
      </c>
      <c r="W202" s="1">
        <f t="shared" si="31"/>
        <v>2.2569444444444642E-3</v>
      </c>
      <c r="X202" s="1">
        <f t="shared" si="32"/>
        <v>5.7986111111111294E-3</v>
      </c>
      <c r="Y202" s="1">
        <f t="shared" si="33"/>
        <v>6.8055555555555092E-3</v>
      </c>
      <c r="Z202" s="1">
        <f t="shared" si="34"/>
        <v>9.6759259259259212E-3</v>
      </c>
      <c r="AA202" s="1">
        <f t="shared" si="35"/>
        <v>1.7939814814814659E-3</v>
      </c>
    </row>
    <row r="203" spans="1:27" x14ac:dyDescent="0.25">
      <c r="A203">
        <v>1</v>
      </c>
      <c r="B203" t="s">
        <v>559</v>
      </c>
      <c r="C203" t="s">
        <v>642</v>
      </c>
      <c r="D203">
        <v>2008</v>
      </c>
      <c r="E203" s="1">
        <v>0.68542824074074071</v>
      </c>
      <c r="F203" s="1">
        <v>0.68561342592592589</v>
      </c>
      <c r="G203" s="1">
        <v>0.68707175925925923</v>
      </c>
      <c r="H203" s="1">
        <v>0.69060185185185186</v>
      </c>
      <c r="I203" s="1">
        <v>0.6877199074074074</v>
      </c>
      <c r="J203" s="1">
        <v>0.69317129629629626</v>
      </c>
      <c r="K203" s="1">
        <v>0.69608796296296294</v>
      </c>
      <c r="L203" s="1">
        <v>0.69695601851851852</v>
      </c>
      <c r="M203" s="1">
        <v>0.69815972222222222</v>
      </c>
      <c r="N203" s="1" t="s">
        <v>54</v>
      </c>
      <c r="O203" s="1" t="s">
        <v>34</v>
      </c>
      <c r="P203" s="1" t="s">
        <v>55</v>
      </c>
      <c r="S203" s="1">
        <f t="shared" si="27"/>
        <v>1.8518518518517713E-4</v>
      </c>
      <c r="T203" s="1">
        <f t="shared" si="28"/>
        <v>1.4583333333333393E-3</v>
      </c>
      <c r="U203" s="1">
        <f t="shared" si="29"/>
        <v>6.4814814814817545E-4</v>
      </c>
      <c r="V203" s="1">
        <f t="shared" si="30"/>
        <v>3.5300925925926263E-3</v>
      </c>
      <c r="W203" s="1">
        <f t="shared" si="31"/>
        <v>2.569444444444402E-3</v>
      </c>
      <c r="X203" s="1">
        <f t="shared" si="32"/>
        <v>8.3680555555555314E-3</v>
      </c>
      <c r="Y203" s="1">
        <f t="shared" si="33"/>
        <v>9.8842592592592871E-3</v>
      </c>
      <c r="Z203" s="1">
        <f t="shared" si="34"/>
        <v>1.273148148148151E-2</v>
      </c>
      <c r="AA203" s="1">
        <f t="shared" si="35"/>
        <v>1.6435185185185164E-3</v>
      </c>
    </row>
    <row r="204" spans="1:27" x14ac:dyDescent="0.25">
      <c r="A204">
        <v>1</v>
      </c>
      <c r="B204" t="s">
        <v>582</v>
      </c>
      <c r="C204" t="s">
        <v>611</v>
      </c>
      <c r="D204">
        <v>2018</v>
      </c>
      <c r="E204" s="1">
        <v>0.74768518518518523</v>
      </c>
      <c r="F204" s="1">
        <v>0.74777777777777776</v>
      </c>
      <c r="G204" s="1">
        <v>0.74814814814814812</v>
      </c>
      <c r="H204" s="1">
        <v>0.75012731481481476</v>
      </c>
      <c r="I204" s="1">
        <v>0.74866898148148153</v>
      </c>
      <c r="J204" s="1">
        <v>0.75150462962962961</v>
      </c>
      <c r="K204" s="1">
        <v>0.75383101851851853</v>
      </c>
      <c r="L204" s="1">
        <v>0.75532407407407409</v>
      </c>
      <c r="M204" s="1">
        <v>0.75649305555555557</v>
      </c>
      <c r="N204" s="1" t="s">
        <v>409</v>
      </c>
      <c r="O204" s="1" t="s">
        <v>578</v>
      </c>
      <c r="P204" s="1" t="s">
        <v>584</v>
      </c>
      <c r="S204" s="1">
        <f t="shared" si="27"/>
        <v>9.2592592592533052E-5</v>
      </c>
      <c r="T204" s="1">
        <f t="shared" si="28"/>
        <v>3.7037037037035425E-4</v>
      </c>
      <c r="U204" s="1">
        <f t="shared" si="29"/>
        <v>5.2083333333341475E-4</v>
      </c>
      <c r="V204" s="1">
        <f t="shared" si="30"/>
        <v>1.979166666666643E-3</v>
      </c>
      <c r="W204" s="1">
        <f t="shared" si="31"/>
        <v>1.3773148148148451E-3</v>
      </c>
      <c r="X204" s="1">
        <f t="shared" si="32"/>
        <v>5.1620370370369928E-3</v>
      </c>
      <c r="Y204" s="1">
        <f t="shared" si="33"/>
        <v>7.1759259259259744E-3</v>
      </c>
      <c r="Z204" s="1">
        <f t="shared" si="34"/>
        <v>8.8078703703703409E-3</v>
      </c>
      <c r="AA204" s="1">
        <f t="shared" si="35"/>
        <v>4.629629629628873E-4</v>
      </c>
    </row>
    <row r="205" spans="1:27" x14ac:dyDescent="0.25">
      <c r="A205">
        <v>1</v>
      </c>
      <c r="B205" t="s">
        <v>628</v>
      </c>
      <c r="C205" t="s">
        <v>637</v>
      </c>
      <c r="D205">
        <v>2016</v>
      </c>
      <c r="E205" s="1">
        <v>0.76983796296296292</v>
      </c>
      <c r="F205" s="1">
        <v>0.7699421296296296</v>
      </c>
      <c r="G205" s="1">
        <v>0.77046296296296302</v>
      </c>
      <c r="H205" s="1">
        <v>0.77254629629629634</v>
      </c>
      <c r="I205" s="1">
        <v>0.77109953703703704</v>
      </c>
      <c r="J205" s="1">
        <v>0.77370370370370367</v>
      </c>
      <c r="K205" s="1">
        <v>0.77888888888888885</v>
      </c>
      <c r="L205" s="1">
        <v>0.7805671296296296</v>
      </c>
      <c r="M205" s="1">
        <v>0.78138888888888891</v>
      </c>
      <c r="N205" s="1" t="s">
        <v>537</v>
      </c>
      <c r="O205" s="1" t="s">
        <v>578</v>
      </c>
      <c r="P205" s="1" t="s">
        <v>605</v>
      </c>
      <c r="S205" s="1">
        <f t="shared" si="27"/>
        <v>1.0416666666668295E-4</v>
      </c>
      <c r="T205" s="1">
        <f t="shared" si="28"/>
        <v>5.2083333333341475E-4</v>
      </c>
      <c r="U205" s="1">
        <f t="shared" si="29"/>
        <v>6.3657407407402555E-4</v>
      </c>
      <c r="V205" s="1">
        <f t="shared" si="30"/>
        <v>2.0833333333333259E-3</v>
      </c>
      <c r="W205" s="1">
        <f t="shared" si="31"/>
        <v>1.1574074074073293E-3</v>
      </c>
      <c r="X205" s="1">
        <f t="shared" si="32"/>
        <v>7.7893518518518112E-3</v>
      </c>
      <c r="Y205" s="1">
        <f t="shared" si="33"/>
        <v>1.0104166666666581E-2</v>
      </c>
      <c r="Z205" s="1">
        <f t="shared" si="34"/>
        <v>1.1550925925925992E-2</v>
      </c>
      <c r="AA205" s="1">
        <f t="shared" si="35"/>
        <v>6.250000000000977E-4</v>
      </c>
    </row>
    <row r="206" spans="1:27" x14ac:dyDescent="0.25">
      <c r="A206">
        <v>3</v>
      </c>
      <c r="B206" t="s">
        <v>8</v>
      </c>
      <c r="C206" t="s">
        <v>383</v>
      </c>
      <c r="D206">
        <v>2007</v>
      </c>
      <c r="E206" s="1">
        <v>0.77652777777777782</v>
      </c>
      <c r="F206" s="1">
        <v>0.7769328703703704</v>
      </c>
      <c r="G206" s="1">
        <v>0.77968749999999998</v>
      </c>
      <c r="H206" s="1">
        <v>0.78243055555555552</v>
      </c>
      <c r="I206" s="1">
        <v>0.78043981481481484</v>
      </c>
      <c r="J206" s="1">
        <v>0.78418981481481487</v>
      </c>
      <c r="K206" s="1">
        <v>0.78960648148148149</v>
      </c>
      <c r="L206" s="1">
        <v>0.79049768518518515</v>
      </c>
      <c r="M206" s="1">
        <v>0.79075231481481478</v>
      </c>
      <c r="N206" s="1" t="s">
        <v>54</v>
      </c>
      <c r="O206" s="1" t="s">
        <v>555</v>
      </c>
      <c r="P206" s="1" t="s">
        <v>55</v>
      </c>
      <c r="S206" s="1">
        <f t="shared" si="27"/>
        <v>4.050925925925819E-4</v>
      </c>
      <c r="T206" s="1">
        <f t="shared" si="28"/>
        <v>2.7546296296295791E-3</v>
      </c>
      <c r="U206" s="1">
        <f t="shared" si="29"/>
        <v>7.523148148148584E-4</v>
      </c>
      <c r="V206" s="1">
        <f t="shared" si="30"/>
        <v>2.7430555555555403E-3</v>
      </c>
      <c r="W206" s="1">
        <f t="shared" si="31"/>
        <v>1.7592592592593492E-3</v>
      </c>
      <c r="X206" s="1">
        <f t="shared" si="32"/>
        <v>9.1666666666666563E-3</v>
      </c>
      <c r="Y206" s="1">
        <f t="shared" si="33"/>
        <v>1.0810185185185173E-2</v>
      </c>
      <c r="Z206" s="1">
        <f t="shared" si="34"/>
        <v>1.4224537037036966E-2</v>
      </c>
      <c r="AA206" s="1">
        <f t="shared" si="35"/>
        <v>3.159722222222161E-3</v>
      </c>
    </row>
  </sheetData>
  <autoFilter ref="A1:Z20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99A9F-77AC-4862-8201-5287A9C29F21}">
  <dimension ref="A1:E206"/>
  <sheetViews>
    <sheetView workbookViewId="0">
      <selection activeCell="J17" sqref="J17"/>
    </sheetView>
  </sheetViews>
  <sheetFormatPr defaultRowHeight="15" x14ac:dyDescent="0.25"/>
  <sheetData>
    <row r="1" spans="1:5" x14ac:dyDescent="0.25">
      <c r="A1" s="1" t="s">
        <v>45</v>
      </c>
      <c r="C1" s="1" t="s">
        <v>717</v>
      </c>
      <c r="E1" t="s">
        <v>718</v>
      </c>
    </row>
    <row r="2" spans="1:5" x14ac:dyDescent="0.25">
      <c r="A2" s="1" t="s">
        <v>33</v>
      </c>
      <c r="C2" s="1">
        <v>1.1574074074074403E-3</v>
      </c>
      <c r="E2" s="2">
        <f>C2*1440</f>
        <v>1.666666666666714</v>
      </c>
    </row>
    <row r="3" spans="1:5" x14ac:dyDescent="0.25">
      <c r="A3" s="1" t="s">
        <v>33</v>
      </c>
      <c r="C3" s="1">
        <v>1.5625000000000222E-3</v>
      </c>
      <c r="E3" s="2">
        <f t="shared" ref="E3:E66" si="0">C3*1440</f>
        <v>2.250000000000032</v>
      </c>
    </row>
    <row r="4" spans="1:5" x14ac:dyDescent="0.25">
      <c r="A4" s="1" t="s">
        <v>33</v>
      </c>
      <c r="C4" s="1">
        <v>2.3842592592592249E-3</v>
      </c>
      <c r="E4" s="2">
        <f t="shared" si="0"/>
        <v>3.4333333333332838</v>
      </c>
    </row>
    <row r="5" spans="1:5" x14ac:dyDescent="0.25">
      <c r="A5" s="1" t="s">
        <v>33</v>
      </c>
      <c r="C5" s="1">
        <v>1.6435185185185164E-3</v>
      </c>
      <c r="E5" s="2">
        <f t="shared" si="0"/>
        <v>2.3666666666666636</v>
      </c>
    </row>
    <row r="6" spans="1:5" x14ac:dyDescent="0.25">
      <c r="A6" s="1" t="s">
        <v>33</v>
      </c>
      <c r="C6" s="1">
        <v>6.7013888888889372E-3</v>
      </c>
      <c r="E6" s="2">
        <f t="shared" si="0"/>
        <v>9.6500000000000696</v>
      </c>
    </row>
    <row r="7" spans="1:5" x14ac:dyDescent="0.25">
      <c r="A7" s="1" t="s">
        <v>33</v>
      </c>
      <c r="C7" s="1">
        <v>1.5428240740740673E-2</v>
      </c>
      <c r="E7" s="2">
        <f t="shared" si="0"/>
        <v>22.216666666666569</v>
      </c>
    </row>
    <row r="8" spans="1:5" x14ac:dyDescent="0.25">
      <c r="A8" s="1" t="s">
        <v>33</v>
      </c>
      <c r="C8" s="1">
        <v>1.7719907407407365E-2</v>
      </c>
      <c r="E8" s="2">
        <f t="shared" si="0"/>
        <v>25.516666666666605</v>
      </c>
    </row>
    <row r="9" spans="1:5" x14ac:dyDescent="0.25">
      <c r="A9" s="1" t="s">
        <v>33</v>
      </c>
      <c r="C9" s="1">
        <v>1.0914351851851856E-2</v>
      </c>
      <c r="E9" s="2">
        <f t="shared" si="0"/>
        <v>15.716666666666672</v>
      </c>
    </row>
    <row r="10" spans="1:5" x14ac:dyDescent="0.25">
      <c r="A10" s="1" t="s">
        <v>33</v>
      </c>
      <c r="C10" s="1">
        <v>9.6527777777777324E-3</v>
      </c>
      <c r="E10" s="2">
        <f t="shared" si="0"/>
        <v>13.899999999999935</v>
      </c>
    </row>
    <row r="11" spans="1:5" x14ac:dyDescent="0.25">
      <c r="A11" s="1" t="s">
        <v>33</v>
      </c>
      <c r="C11" s="1">
        <v>1.1099537037037033E-2</v>
      </c>
      <c r="E11" s="2">
        <f t="shared" si="0"/>
        <v>15.983333333333327</v>
      </c>
    </row>
    <row r="12" spans="1:5" x14ac:dyDescent="0.25">
      <c r="A12" s="1" t="s">
        <v>33</v>
      </c>
      <c r="C12" s="1">
        <v>1.663194444444438E-2</v>
      </c>
      <c r="E12" s="2">
        <f t="shared" si="0"/>
        <v>23.949999999999907</v>
      </c>
    </row>
    <row r="13" spans="1:5" x14ac:dyDescent="0.25">
      <c r="A13" s="1" t="s">
        <v>33</v>
      </c>
      <c r="C13" s="1">
        <v>9.1898148148148451E-3</v>
      </c>
      <c r="E13" s="2">
        <f t="shared" si="0"/>
        <v>13.233333333333377</v>
      </c>
    </row>
    <row r="14" spans="1:5" x14ac:dyDescent="0.25">
      <c r="A14" s="1" t="s">
        <v>33</v>
      </c>
      <c r="C14" s="1">
        <v>7.118055555555558E-3</v>
      </c>
      <c r="E14" s="2">
        <f t="shared" si="0"/>
        <v>10.250000000000004</v>
      </c>
    </row>
    <row r="15" spans="1:5" x14ac:dyDescent="0.25">
      <c r="A15" s="1" t="s">
        <v>33</v>
      </c>
      <c r="C15" s="1">
        <v>4.7222222222221832E-3</v>
      </c>
      <c r="E15" s="2">
        <f t="shared" si="0"/>
        <v>6.7999999999999439</v>
      </c>
    </row>
    <row r="16" spans="1:5" x14ac:dyDescent="0.25">
      <c r="A16" s="1" t="s">
        <v>33</v>
      </c>
      <c r="C16" s="1">
        <v>3.7152777777778034E-3</v>
      </c>
      <c r="E16" s="2">
        <f t="shared" si="0"/>
        <v>5.3500000000000369</v>
      </c>
    </row>
    <row r="17" spans="1:5" x14ac:dyDescent="0.25">
      <c r="A17" s="1" t="s">
        <v>33</v>
      </c>
      <c r="C17" s="1">
        <v>3.8773148148149028E-3</v>
      </c>
      <c r="E17" s="2">
        <f t="shared" si="0"/>
        <v>5.58333333333346</v>
      </c>
    </row>
    <row r="18" spans="1:5" x14ac:dyDescent="0.25">
      <c r="A18" s="1" t="s">
        <v>33</v>
      </c>
      <c r="C18" s="1">
        <v>1.5625000000000222E-3</v>
      </c>
      <c r="E18" s="2">
        <f t="shared" si="0"/>
        <v>2.250000000000032</v>
      </c>
    </row>
    <row r="19" spans="1:5" x14ac:dyDescent="0.25">
      <c r="A19" s="1" t="s">
        <v>33</v>
      </c>
      <c r="C19" s="1">
        <v>1.2268518518518956E-3</v>
      </c>
      <c r="E19" s="2">
        <f t="shared" si="0"/>
        <v>1.7666666666667297</v>
      </c>
    </row>
    <row r="20" spans="1:5" x14ac:dyDescent="0.25">
      <c r="A20" s="1" t="s">
        <v>33</v>
      </c>
      <c r="C20" s="1">
        <v>9.2592592592588563E-4</v>
      </c>
      <c r="E20" s="2">
        <f t="shared" si="0"/>
        <v>1.3333333333332753</v>
      </c>
    </row>
    <row r="21" spans="1:5" x14ac:dyDescent="0.25">
      <c r="A21" s="1" t="s">
        <v>33</v>
      </c>
      <c r="C21" s="1">
        <v>1.0995370370370239E-3</v>
      </c>
      <c r="E21" s="2">
        <f t="shared" si="0"/>
        <v>1.5833333333333144</v>
      </c>
    </row>
    <row r="22" spans="1:5" x14ac:dyDescent="0.25">
      <c r="A22" s="1" t="s">
        <v>33</v>
      </c>
      <c r="C22" s="1">
        <v>1.1111111111110628E-3</v>
      </c>
      <c r="E22" s="2">
        <f t="shared" si="0"/>
        <v>1.5999999999999304</v>
      </c>
    </row>
    <row r="23" spans="1:5" x14ac:dyDescent="0.25">
      <c r="A23" s="1" t="s">
        <v>33</v>
      </c>
      <c r="C23" s="1">
        <v>1.5972222222222499E-3</v>
      </c>
      <c r="E23" s="2">
        <f t="shared" si="0"/>
        <v>2.3000000000000398</v>
      </c>
    </row>
    <row r="24" spans="1:5" x14ac:dyDescent="0.25">
      <c r="A24" s="1" t="s">
        <v>33</v>
      </c>
      <c r="C24" s="1">
        <v>8.8310185185185297E-3</v>
      </c>
      <c r="E24" s="2">
        <f t="shared" si="0"/>
        <v>12.716666666666683</v>
      </c>
    </row>
    <row r="25" spans="1:5" x14ac:dyDescent="0.25">
      <c r="A25" s="1" t="s">
        <v>33</v>
      </c>
      <c r="C25" s="1">
        <v>2.0254629629630205E-3</v>
      </c>
      <c r="E25" s="2">
        <f t="shared" si="0"/>
        <v>2.9166666666667496</v>
      </c>
    </row>
    <row r="26" spans="1:5" x14ac:dyDescent="0.25">
      <c r="A26" s="1" t="s">
        <v>33</v>
      </c>
      <c r="C26" s="1">
        <v>7.6388888888889728E-4</v>
      </c>
      <c r="E26" s="2">
        <f t="shared" si="0"/>
        <v>1.1000000000000121</v>
      </c>
    </row>
    <row r="27" spans="1:5" x14ac:dyDescent="0.25">
      <c r="A27" s="1" t="s">
        <v>33</v>
      </c>
      <c r="C27" s="1">
        <v>1.782407407407427E-3</v>
      </c>
      <c r="E27" s="2">
        <f t="shared" si="0"/>
        <v>2.5666666666666949</v>
      </c>
    </row>
    <row r="28" spans="1:5" x14ac:dyDescent="0.25">
      <c r="A28" s="1" t="s">
        <v>33</v>
      </c>
      <c r="C28" s="1">
        <v>9.490740740740744E-4</v>
      </c>
      <c r="E28" s="2">
        <f t="shared" si="0"/>
        <v>1.3666666666666671</v>
      </c>
    </row>
    <row r="29" spans="1:5" x14ac:dyDescent="0.25">
      <c r="A29" s="1" t="s">
        <v>33</v>
      </c>
      <c r="C29" s="1">
        <v>1.2037037037037068E-3</v>
      </c>
      <c r="E29" s="2">
        <f t="shared" si="0"/>
        <v>1.7333333333333378</v>
      </c>
    </row>
    <row r="30" spans="1:5" x14ac:dyDescent="0.25">
      <c r="A30" s="1" t="s">
        <v>33</v>
      </c>
      <c r="C30" s="1">
        <v>1.87499999999996E-3</v>
      </c>
      <c r="E30" s="2">
        <f t="shared" si="0"/>
        <v>2.6999999999999424</v>
      </c>
    </row>
    <row r="31" spans="1:5" x14ac:dyDescent="0.25">
      <c r="A31" s="1" t="s">
        <v>33</v>
      </c>
      <c r="C31" s="1">
        <v>1.3657407407408062E-3</v>
      </c>
      <c r="E31" s="2">
        <f t="shared" si="0"/>
        <v>1.9666666666667609</v>
      </c>
    </row>
    <row r="32" spans="1:5" x14ac:dyDescent="0.25">
      <c r="A32" s="1" t="s">
        <v>33</v>
      </c>
      <c r="C32" s="1">
        <v>1.388888888888884E-3</v>
      </c>
      <c r="E32" s="2">
        <f t="shared" si="0"/>
        <v>1.9999999999999929</v>
      </c>
    </row>
    <row r="33" spans="1:5" x14ac:dyDescent="0.25">
      <c r="A33" s="1" t="s">
        <v>33</v>
      </c>
      <c r="C33" s="1">
        <v>8.91203703703769E-4</v>
      </c>
      <c r="E33" s="2">
        <f t="shared" si="0"/>
        <v>1.2833333333334274</v>
      </c>
    </row>
    <row r="34" spans="1:5" x14ac:dyDescent="0.25">
      <c r="A34" s="1" t="s">
        <v>33</v>
      </c>
      <c r="C34" s="1">
        <v>8.5648148148143033E-4</v>
      </c>
      <c r="E34" s="2">
        <f t="shared" si="0"/>
        <v>1.2333333333332597</v>
      </c>
    </row>
    <row r="35" spans="1:5" x14ac:dyDescent="0.25">
      <c r="A35" s="1" t="s">
        <v>33</v>
      </c>
      <c r="C35" s="1">
        <v>1.4236111111111116E-3</v>
      </c>
      <c r="E35" s="2">
        <f t="shared" si="0"/>
        <v>2.0500000000000007</v>
      </c>
    </row>
    <row r="36" spans="1:5" x14ac:dyDescent="0.25">
      <c r="A36" s="1" t="s">
        <v>33</v>
      </c>
      <c r="C36" s="1">
        <v>1.481481481481417E-3</v>
      </c>
      <c r="E36" s="2">
        <f t="shared" si="0"/>
        <v>2.1333333333332405</v>
      </c>
    </row>
    <row r="37" spans="1:5" x14ac:dyDescent="0.25">
      <c r="A37" s="1" t="s">
        <v>33</v>
      </c>
      <c r="C37" s="1">
        <v>1.8287037037036935E-3</v>
      </c>
      <c r="E37" s="2">
        <f t="shared" si="0"/>
        <v>2.6333333333333186</v>
      </c>
    </row>
    <row r="38" spans="1:5" x14ac:dyDescent="0.25">
      <c r="A38" s="1" t="s">
        <v>33</v>
      </c>
      <c r="C38" s="1">
        <v>9.8379629629630205E-4</v>
      </c>
      <c r="E38" s="2">
        <f t="shared" si="0"/>
        <v>1.416666666666675</v>
      </c>
    </row>
    <row r="39" spans="1:5" x14ac:dyDescent="0.25">
      <c r="A39" s="1" t="s">
        <v>33</v>
      </c>
      <c r="C39" s="1">
        <v>1.1226851851852127E-3</v>
      </c>
      <c r="E39" s="2">
        <f t="shared" si="0"/>
        <v>1.6166666666667062</v>
      </c>
    </row>
    <row r="40" spans="1:5" x14ac:dyDescent="0.25">
      <c r="A40" s="1" t="s">
        <v>33</v>
      </c>
      <c r="C40" s="1">
        <v>1.1458333333332904E-3</v>
      </c>
      <c r="E40" s="2">
        <f t="shared" si="0"/>
        <v>1.6499999999999382</v>
      </c>
    </row>
    <row r="41" spans="1:5" x14ac:dyDescent="0.25">
      <c r="A41" s="1" t="s">
        <v>33</v>
      </c>
      <c r="C41" s="1">
        <v>4.8958333333333215E-3</v>
      </c>
      <c r="E41" s="2">
        <f t="shared" si="0"/>
        <v>7.0499999999999829</v>
      </c>
    </row>
    <row r="42" spans="1:5" x14ac:dyDescent="0.25">
      <c r="A42" s="1" t="s">
        <v>33</v>
      </c>
      <c r="C42" s="1">
        <v>2.4884259259259078E-3</v>
      </c>
      <c r="E42" s="2">
        <f t="shared" si="0"/>
        <v>3.5833333333333073</v>
      </c>
    </row>
    <row r="43" spans="1:5" x14ac:dyDescent="0.25">
      <c r="A43" s="1" t="s">
        <v>33</v>
      </c>
      <c r="C43" s="1">
        <v>1.2037037037037068E-3</v>
      </c>
      <c r="E43" s="2">
        <f t="shared" si="0"/>
        <v>1.7333333333333378</v>
      </c>
    </row>
    <row r="44" spans="1:5" x14ac:dyDescent="0.25">
      <c r="A44" s="1" t="s">
        <v>33</v>
      </c>
      <c r="C44" s="1">
        <v>1.1111111111111738E-3</v>
      </c>
      <c r="E44" s="2">
        <f t="shared" si="0"/>
        <v>1.6000000000000902</v>
      </c>
    </row>
    <row r="45" spans="1:5" x14ac:dyDescent="0.25">
      <c r="A45" s="1" t="s">
        <v>33</v>
      </c>
      <c r="C45" s="1">
        <v>1.4120370370369617E-3</v>
      </c>
      <c r="E45" s="2">
        <f t="shared" si="0"/>
        <v>2.0333333333332249</v>
      </c>
    </row>
    <row r="46" spans="1:5" x14ac:dyDescent="0.25">
      <c r="A46" s="1" t="s">
        <v>33</v>
      </c>
      <c r="C46" s="1">
        <v>1.284722222222201E-3</v>
      </c>
      <c r="E46" s="2">
        <f t="shared" si="0"/>
        <v>1.8499999999999694</v>
      </c>
    </row>
    <row r="47" spans="1:5" x14ac:dyDescent="0.25">
      <c r="A47" s="1" t="s">
        <v>33</v>
      </c>
      <c r="C47" s="1">
        <v>9.490740740740744E-4</v>
      </c>
      <c r="E47" s="2">
        <f t="shared" si="0"/>
        <v>1.3666666666666671</v>
      </c>
    </row>
    <row r="48" spans="1:5" x14ac:dyDescent="0.25">
      <c r="A48" s="1" t="s">
        <v>33</v>
      </c>
      <c r="C48" s="1">
        <v>2.5231481481481355E-3</v>
      </c>
      <c r="E48" s="2">
        <f t="shared" si="0"/>
        <v>3.6333333333333151</v>
      </c>
    </row>
    <row r="49" spans="1:5" x14ac:dyDescent="0.25">
      <c r="A49" s="1" t="s">
        <v>33</v>
      </c>
      <c r="C49" s="1">
        <v>1.2731481481481621E-3</v>
      </c>
      <c r="E49" s="2">
        <f t="shared" si="0"/>
        <v>1.8333333333333535</v>
      </c>
    </row>
    <row r="50" spans="1:5" x14ac:dyDescent="0.25">
      <c r="A50" s="1" t="s">
        <v>33</v>
      </c>
      <c r="C50" s="1">
        <v>7.3379629629629628E-3</v>
      </c>
      <c r="E50" s="2">
        <f t="shared" si="0"/>
        <v>10.566666666666666</v>
      </c>
    </row>
    <row r="51" spans="1:5" x14ac:dyDescent="0.25">
      <c r="A51" s="1" t="s">
        <v>33</v>
      </c>
      <c r="C51" s="1">
        <v>1.8287037037036935E-3</v>
      </c>
      <c r="E51" s="2">
        <f t="shared" si="0"/>
        <v>2.6333333333333186</v>
      </c>
    </row>
    <row r="52" spans="1:5" x14ac:dyDescent="0.25">
      <c r="A52" s="1" t="s">
        <v>33</v>
      </c>
      <c r="C52" s="1">
        <v>1.5856481481481E-3</v>
      </c>
      <c r="E52" s="2">
        <f t="shared" si="0"/>
        <v>2.2833333333332639</v>
      </c>
    </row>
    <row r="53" spans="1:5" x14ac:dyDescent="0.25">
      <c r="A53" s="1" t="s">
        <v>33</v>
      </c>
      <c r="C53" s="1">
        <v>1.4120370370370727E-3</v>
      </c>
      <c r="E53" s="2">
        <f t="shared" si="0"/>
        <v>2.0333333333333847</v>
      </c>
    </row>
    <row r="54" spans="1:5" x14ac:dyDescent="0.25">
      <c r="A54" s="1" t="s">
        <v>34</v>
      </c>
      <c r="C54" s="1">
        <v>1.388888888888884E-3</v>
      </c>
      <c r="E54" s="2">
        <f t="shared" si="0"/>
        <v>1.9999999999999929</v>
      </c>
    </row>
    <row r="55" spans="1:5" x14ac:dyDescent="0.25">
      <c r="A55" s="1" t="s">
        <v>34</v>
      </c>
      <c r="C55" s="1">
        <v>7.2569444444444686E-3</v>
      </c>
      <c r="E55" s="2">
        <f t="shared" si="0"/>
        <v>10.450000000000035</v>
      </c>
    </row>
    <row r="56" spans="1:5" x14ac:dyDescent="0.25">
      <c r="A56" s="1" t="s">
        <v>34</v>
      </c>
      <c r="C56" s="1">
        <v>1.6203703703703276E-3</v>
      </c>
      <c r="E56" s="2">
        <f t="shared" si="0"/>
        <v>2.3333333333332718</v>
      </c>
    </row>
    <row r="57" spans="1:5" x14ac:dyDescent="0.25">
      <c r="A57" s="1" t="s">
        <v>34</v>
      </c>
      <c r="C57" s="1">
        <v>7.5231481481474738E-4</v>
      </c>
      <c r="E57" s="2">
        <f t="shared" si="0"/>
        <v>1.0833333333332362</v>
      </c>
    </row>
    <row r="58" spans="1:5" x14ac:dyDescent="0.25">
      <c r="A58" s="1" t="s">
        <v>34</v>
      </c>
      <c r="C58" s="1">
        <v>1.5393518518518334E-3</v>
      </c>
      <c r="E58" s="2">
        <f t="shared" si="0"/>
        <v>2.2166666666666401</v>
      </c>
    </row>
    <row r="59" spans="1:5" x14ac:dyDescent="0.25">
      <c r="A59" s="1" t="s">
        <v>34</v>
      </c>
      <c r="C59" s="1">
        <v>7.4884259259259123E-3</v>
      </c>
      <c r="E59" s="2">
        <f t="shared" si="0"/>
        <v>10.783333333333314</v>
      </c>
    </row>
    <row r="60" spans="1:5" x14ac:dyDescent="0.25">
      <c r="A60" s="1" t="s">
        <v>34</v>
      </c>
      <c r="C60" s="1">
        <v>2.6273148148148184E-3</v>
      </c>
      <c r="E60" s="2">
        <f t="shared" si="0"/>
        <v>3.7833333333333385</v>
      </c>
    </row>
    <row r="61" spans="1:5" x14ac:dyDescent="0.25">
      <c r="A61" s="1" t="s">
        <v>34</v>
      </c>
      <c r="C61" s="1">
        <v>6.3773148148148495E-3</v>
      </c>
      <c r="E61" s="2">
        <f t="shared" si="0"/>
        <v>9.1833333333333833</v>
      </c>
    </row>
    <row r="62" spans="1:5" x14ac:dyDescent="0.25">
      <c r="A62" s="1" t="s">
        <v>34</v>
      </c>
      <c r="C62" s="1">
        <v>9.9537037037036313E-3</v>
      </c>
      <c r="E62" s="2">
        <f t="shared" si="0"/>
        <v>14.333333333333229</v>
      </c>
    </row>
    <row r="63" spans="1:5" x14ac:dyDescent="0.25">
      <c r="A63" s="1" t="s">
        <v>34</v>
      </c>
      <c r="C63" s="1">
        <v>1.7418981481481466E-2</v>
      </c>
      <c r="E63" s="2">
        <f t="shared" si="0"/>
        <v>25.083333333333311</v>
      </c>
    </row>
    <row r="64" spans="1:5" x14ac:dyDescent="0.25">
      <c r="A64" s="1" t="s">
        <v>34</v>
      </c>
      <c r="C64" s="1">
        <v>1.0983796296296311E-2</v>
      </c>
      <c r="E64" s="2">
        <f t="shared" si="0"/>
        <v>15.816666666666688</v>
      </c>
    </row>
    <row r="65" spans="1:5" x14ac:dyDescent="0.25">
      <c r="A65" s="1" t="s">
        <v>34</v>
      </c>
      <c r="C65" s="1">
        <v>7.5231481481474738E-4</v>
      </c>
      <c r="E65" s="2">
        <f t="shared" si="0"/>
        <v>1.0833333333332362</v>
      </c>
    </row>
    <row r="66" spans="1:5" x14ac:dyDescent="0.25">
      <c r="A66" s="1" t="s">
        <v>34</v>
      </c>
      <c r="C66" s="1">
        <v>1.0069444444443798E-3</v>
      </c>
      <c r="E66" s="2">
        <f t="shared" si="0"/>
        <v>1.4499999999999069</v>
      </c>
    </row>
    <row r="67" spans="1:5" x14ac:dyDescent="0.25">
      <c r="A67" s="1" t="s">
        <v>34</v>
      </c>
      <c r="C67" s="1">
        <v>6.5972222222221433E-4</v>
      </c>
      <c r="E67" s="2">
        <f t="shared" ref="E67:E130" si="1">C67*1440</f>
        <v>0.94999999999998863</v>
      </c>
    </row>
    <row r="68" spans="1:5" x14ac:dyDescent="0.25">
      <c r="A68" s="1" t="s">
        <v>34</v>
      </c>
      <c r="C68" s="1">
        <v>1.3425925925926174E-3</v>
      </c>
      <c r="E68" s="2">
        <f t="shared" si="1"/>
        <v>1.9333333333333691</v>
      </c>
    </row>
    <row r="69" spans="1:5" x14ac:dyDescent="0.25">
      <c r="A69" s="1" t="s">
        <v>34</v>
      </c>
      <c r="C69" s="1">
        <v>7.523148148148584E-4</v>
      </c>
      <c r="E69" s="2">
        <f t="shared" si="1"/>
        <v>1.0833333333333961</v>
      </c>
    </row>
    <row r="70" spans="1:5" x14ac:dyDescent="0.25">
      <c r="A70" s="1" t="s">
        <v>34</v>
      </c>
      <c r="C70" s="1">
        <v>1.3657407407406952E-3</v>
      </c>
      <c r="E70" s="2">
        <f t="shared" si="1"/>
        <v>1.9666666666666011</v>
      </c>
    </row>
    <row r="71" spans="1:5" x14ac:dyDescent="0.25">
      <c r="A71" s="1" t="s">
        <v>34</v>
      </c>
      <c r="C71" s="1">
        <v>1.2152777777777457E-3</v>
      </c>
      <c r="E71" s="2">
        <f t="shared" si="1"/>
        <v>1.7499999999999538</v>
      </c>
    </row>
    <row r="72" spans="1:5" x14ac:dyDescent="0.25">
      <c r="A72" s="1" t="s">
        <v>34</v>
      </c>
      <c r="C72" s="1">
        <v>8.9120370370365798E-4</v>
      </c>
      <c r="E72" s="2">
        <f t="shared" si="1"/>
        <v>1.2833333333332675</v>
      </c>
    </row>
    <row r="73" spans="1:5" x14ac:dyDescent="0.25">
      <c r="A73" s="1" t="s">
        <v>34</v>
      </c>
      <c r="C73" s="1">
        <v>1.5393518518518334E-3</v>
      </c>
      <c r="E73" s="2">
        <f t="shared" si="1"/>
        <v>2.2166666666666401</v>
      </c>
    </row>
    <row r="74" spans="1:5" x14ac:dyDescent="0.25">
      <c r="A74" s="1" t="s">
        <v>34</v>
      </c>
      <c r="C74" s="1">
        <v>2.0370370370369484E-3</v>
      </c>
      <c r="E74" s="2">
        <f t="shared" si="1"/>
        <v>2.9333333333332057</v>
      </c>
    </row>
    <row r="75" spans="1:5" x14ac:dyDescent="0.25">
      <c r="A75" s="1" t="s">
        <v>34</v>
      </c>
      <c r="C75" s="1">
        <v>9.6064814814811328E-4</v>
      </c>
      <c r="E75" s="2">
        <f t="shared" si="1"/>
        <v>1.3833333333332831</v>
      </c>
    </row>
    <row r="76" spans="1:5" x14ac:dyDescent="0.25">
      <c r="A76" s="1" t="s">
        <v>34</v>
      </c>
      <c r="C76" s="1">
        <v>1.0069444444443798E-3</v>
      </c>
      <c r="E76" s="2">
        <f t="shared" si="1"/>
        <v>1.4499999999999069</v>
      </c>
    </row>
    <row r="77" spans="1:5" x14ac:dyDescent="0.25">
      <c r="A77" s="1" t="s">
        <v>34</v>
      </c>
      <c r="C77" s="1">
        <v>1.1689814814814792E-3</v>
      </c>
      <c r="E77" s="2">
        <f t="shared" si="1"/>
        <v>1.68333333333333</v>
      </c>
    </row>
    <row r="78" spans="1:5" x14ac:dyDescent="0.25">
      <c r="A78" s="1" t="s">
        <v>34</v>
      </c>
      <c r="C78" s="1">
        <v>9.9537037037034093E-4</v>
      </c>
      <c r="E78" s="2">
        <f t="shared" si="1"/>
        <v>1.4333333333332909</v>
      </c>
    </row>
    <row r="79" spans="1:5" x14ac:dyDescent="0.25">
      <c r="A79" s="1" t="s">
        <v>34</v>
      </c>
      <c r="C79" s="1">
        <v>1.8981481481481488E-3</v>
      </c>
      <c r="E79" s="2">
        <f t="shared" si="1"/>
        <v>2.7333333333333343</v>
      </c>
    </row>
    <row r="80" spans="1:5" x14ac:dyDescent="0.25">
      <c r="A80" s="1" t="s">
        <v>34</v>
      </c>
      <c r="C80" s="1">
        <v>1.5972222222222499E-3</v>
      </c>
      <c r="E80" s="2">
        <f t="shared" si="1"/>
        <v>2.3000000000000398</v>
      </c>
    </row>
    <row r="81" spans="1:5" x14ac:dyDescent="0.25">
      <c r="A81" s="1" t="s">
        <v>34</v>
      </c>
      <c r="C81" s="1">
        <v>2.8356481481481843E-3</v>
      </c>
      <c r="E81" s="2">
        <f t="shared" si="1"/>
        <v>4.0833333333333854</v>
      </c>
    </row>
    <row r="82" spans="1:5" x14ac:dyDescent="0.25">
      <c r="A82" s="1" t="s">
        <v>34</v>
      </c>
      <c r="C82" s="1">
        <v>1.6203703703703276E-3</v>
      </c>
      <c r="E82" s="2">
        <f t="shared" si="1"/>
        <v>2.3333333333332718</v>
      </c>
    </row>
    <row r="83" spans="1:5" x14ac:dyDescent="0.25">
      <c r="A83" s="1" t="s">
        <v>34</v>
      </c>
      <c r="C83" s="1">
        <v>8.7962962962967461E-4</v>
      </c>
      <c r="E83" s="2">
        <f t="shared" si="1"/>
        <v>1.2666666666667314</v>
      </c>
    </row>
    <row r="84" spans="1:5" x14ac:dyDescent="0.25">
      <c r="A84" s="1" t="s">
        <v>34</v>
      </c>
      <c r="C84" s="1">
        <v>1.0648148148147962E-3</v>
      </c>
      <c r="E84" s="2">
        <f t="shared" si="1"/>
        <v>1.5333333333333066</v>
      </c>
    </row>
    <row r="85" spans="1:5" x14ac:dyDescent="0.25">
      <c r="A85" s="1" t="s">
        <v>34</v>
      </c>
      <c r="C85" s="1">
        <v>7.6388888888889728E-4</v>
      </c>
      <c r="E85" s="2">
        <f t="shared" si="1"/>
        <v>1.1000000000000121</v>
      </c>
    </row>
    <row r="86" spans="1:5" x14ac:dyDescent="0.25">
      <c r="A86" s="1" t="s">
        <v>34</v>
      </c>
      <c r="C86" s="1">
        <v>1.0648148148147962E-3</v>
      </c>
      <c r="E86" s="2">
        <f t="shared" si="1"/>
        <v>1.5333333333333066</v>
      </c>
    </row>
    <row r="87" spans="1:5" x14ac:dyDescent="0.25">
      <c r="A87" s="1" t="s">
        <v>34</v>
      </c>
      <c r="C87" s="1">
        <v>8.9120370370371349E-4</v>
      </c>
      <c r="E87" s="2">
        <f t="shared" si="1"/>
        <v>1.2833333333333474</v>
      </c>
    </row>
    <row r="88" spans="1:5" x14ac:dyDescent="0.25">
      <c r="A88" s="1" t="s">
        <v>34</v>
      </c>
      <c r="C88" s="1">
        <v>7.8703703703703054E-4</v>
      </c>
      <c r="E88" s="2">
        <f t="shared" si="1"/>
        <v>1.133333333333324</v>
      </c>
    </row>
    <row r="89" spans="1:5" x14ac:dyDescent="0.25">
      <c r="A89" s="1" t="s">
        <v>34</v>
      </c>
      <c r="C89" s="1">
        <v>9.2592592592594114E-4</v>
      </c>
      <c r="E89" s="2">
        <f t="shared" si="1"/>
        <v>1.3333333333333552</v>
      </c>
    </row>
    <row r="90" spans="1:5" x14ac:dyDescent="0.25">
      <c r="A90" s="1" t="s">
        <v>34</v>
      </c>
      <c r="C90" s="1">
        <v>7.6388888888889728E-4</v>
      </c>
      <c r="E90" s="2">
        <f t="shared" si="1"/>
        <v>1.1000000000000121</v>
      </c>
    </row>
    <row r="91" spans="1:5" x14ac:dyDescent="0.25">
      <c r="A91" s="1" t="s">
        <v>34</v>
      </c>
      <c r="C91" s="1">
        <v>8.3333333333335258E-4</v>
      </c>
      <c r="E91" s="2">
        <f t="shared" si="1"/>
        <v>1.2000000000000277</v>
      </c>
    </row>
    <row r="92" spans="1:5" x14ac:dyDescent="0.25">
      <c r="A92" s="1" t="s">
        <v>34</v>
      </c>
      <c r="C92" s="1">
        <v>8.5648148148143033E-4</v>
      </c>
      <c r="E92" s="2">
        <f t="shared" si="1"/>
        <v>1.2333333333332597</v>
      </c>
    </row>
    <row r="93" spans="1:5" x14ac:dyDescent="0.25">
      <c r="A93" s="1" t="s">
        <v>34</v>
      </c>
      <c r="C93" s="1">
        <v>1.2962962962962399E-3</v>
      </c>
      <c r="E93" s="2">
        <f t="shared" si="1"/>
        <v>1.8666666666665854</v>
      </c>
    </row>
    <row r="94" spans="1:5" x14ac:dyDescent="0.25">
      <c r="A94" s="1" t="s">
        <v>34</v>
      </c>
      <c r="C94" s="1">
        <v>9.490740740740744E-4</v>
      </c>
      <c r="E94" s="2">
        <f t="shared" si="1"/>
        <v>1.3666666666666671</v>
      </c>
    </row>
    <row r="95" spans="1:5" x14ac:dyDescent="0.25">
      <c r="A95" s="1" t="s">
        <v>34</v>
      </c>
      <c r="C95" s="1">
        <v>9.6064814814811328E-4</v>
      </c>
      <c r="E95" s="2">
        <f t="shared" si="1"/>
        <v>1.3833333333332831</v>
      </c>
    </row>
    <row r="96" spans="1:5" x14ac:dyDescent="0.25">
      <c r="A96" s="1" t="s">
        <v>34</v>
      </c>
      <c r="C96" s="1">
        <v>9.1435185185184675E-4</v>
      </c>
      <c r="E96" s="2">
        <f t="shared" si="1"/>
        <v>1.3166666666666593</v>
      </c>
    </row>
    <row r="97" spans="1:5" x14ac:dyDescent="0.25">
      <c r="A97" s="1" t="s">
        <v>34</v>
      </c>
      <c r="C97" s="1">
        <v>3.2407407407408773E-4</v>
      </c>
      <c r="E97" s="2">
        <f t="shared" si="1"/>
        <v>0.46666666666668633</v>
      </c>
    </row>
    <row r="98" spans="1:5" x14ac:dyDescent="0.25">
      <c r="A98" s="1" t="s">
        <v>34</v>
      </c>
      <c r="C98" s="1">
        <v>9.1435185185184675E-4</v>
      </c>
      <c r="E98" s="2">
        <f t="shared" si="1"/>
        <v>1.3166666666666593</v>
      </c>
    </row>
    <row r="99" spans="1:5" x14ac:dyDescent="0.25">
      <c r="A99" s="1" t="s">
        <v>34</v>
      </c>
      <c r="C99" s="1">
        <v>1.481481481481528E-3</v>
      </c>
      <c r="E99" s="2">
        <f t="shared" si="1"/>
        <v>2.1333333333334004</v>
      </c>
    </row>
    <row r="100" spans="1:5" x14ac:dyDescent="0.25">
      <c r="A100" s="1" t="s">
        <v>34</v>
      </c>
      <c r="C100" s="1">
        <v>1.7592592592593492E-3</v>
      </c>
      <c r="E100" s="2">
        <f t="shared" si="1"/>
        <v>2.5333333333334629</v>
      </c>
    </row>
    <row r="101" spans="1:5" x14ac:dyDescent="0.25">
      <c r="A101" s="1" t="s">
        <v>34</v>
      </c>
      <c r="C101" s="1">
        <v>2.1296296296297035E-3</v>
      </c>
      <c r="E101" s="2">
        <f t="shared" si="1"/>
        <v>3.066666666666773</v>
      </c>
    </row>
    <row r="102" spans="1:5" x14ac:dyDescent="0.25">
      <c r="A102" s="1" t="s">
        <v>34</v>
      </c>
      <c r="C102" s="1">
        <v>1.3541666666666563E-3</v>
      </c>
      <c r="E102" s="2">
        <f t="shared" si="1"/>
        <v>1.9499999999999851</v>
      </c>
    </row>
    <row r="103" spans="1:5" x14ac:dyDescent="0.25">
      <c r="A103" s="1" t="s">
        <v>34</v>
      </c>
      <c r="C103" s="1">
        <v>8.6805555555558023E-4</v>
      </c>
      <c r="E103" s="2">
        <f t="shared" si="1"/>
        <v>1.2500000000000355</v>
      </c>
    </row>
    <row r="104" spans="1:5" x14ac:dyDescent="0.25">
      <c r="A104" s="1" t="s">
        <v>34</v>
      </c>
      <c r="C104" s="1">
        <v>9.3750000000003553E-4</v>
      </c>
      <c r="E104" s="2">
        <f t="shared" si="1"/>
        <v>1.3500000000000512</v>
      </c>
    </row>
    <row r="105" spans="1:5" x14ac:dyDescent="0.25">
      <c r="A105" s="1" t="s">
        <v>34</v>
      </c>
      <c r="C105" s="1">
        <v>2.1643518518518201E-3</v>
      </c>
      <c r="E105" s="2">
        <f t="shared" si="1"/>
        <v>3.116666666666621</v>
      </c>
    </row>
    <row r="106" spans="1:5" x14ac:dyDescent="0.25">
      <c r="A106" s="1" t="s">
        <v>34</v>
      </c>
      <c r="C106" s="1">
        <v>1.0995370370370239E-3</v>
      </c>
      <c r="E106" s="2">
        <f t="shared" si="1"/>
        <v>1.5833333333333144</v>
      </c>
    </row>
    <row r="107" spans="1:5" x14ac:dyDescent="0.25">
      <c r="A107" s="1" t="s">
        <v>34</v>
      </c>
      <c r="C107" s="1">
        <v>1.2268518518518956E-3</v>
      </c>
      <c r="E107" s="2">
        <f t="shared" si="1"/>
        <v>1.7666666666667297</v>
      </c>
    </row>
    <row r="108" spans="1:5" x14ac:dyDescent="0.25">
      <c r="A108" s="1" t="s">
        <v>34</v>
      </c>
      <c r="C108" s="1">
        <v>9.6064814814811328E-4</v>
      </c>
      <c r="E108" s="2">
        <f t="shared" si="1"/>
        <v>1.3833333333332831</v>
      </c>
    </row>
    <row r="109" spans="1:5" x14ac:dyDescent="0.25">
      <c r="A109" s="1" t="s">
        <v>34</v>
      </c>
      <c r="C109" s="1">
        <v>1.7245370370371216E-3</v>
      </c>
      <c r="E109" s="2">
        <f t="shared" si="1"/>
        <v>2.4833333333334551</v>
      </c>
    </row>
    <row r="110" spans="1:5" x14ac:dyDescent="0.25">
      <c r="A110" s="1" t="s">
        <v>34</v>
      </c>
      <c r="C110" s="1">
        <v>1.9907407407406819E-3</v>
      </c>
      <c r="E110" s="2">
        <f t="shared" si="1"/>
        <v>2.8666666666665819</v>
      </c>
    </row>
    <row r="111" spans="1:5" x14ac:dyDescent="0.25">
      <c r="A111" s="1" t="s">
        <v>34</v>
      </c>
      <c r="C111" s="1">
        <v>1.2731481481481066E-3</v>
      </c>
      <c r="E111" s="2">
        <f t="shared" si="1"/>
        <v>1.8333333333332735</v>
      </c>
    </row>
    <row r="112" spans="1:5" x14ac:dyDescent="0.25">
      <c r="A112" s="1" t="s">
        <v>34</v>
      </c>
      <c r="C112" s="1">
        <v>9.6064814814811328E-4</v>
      </c>
      <c r="E112" s="2">
        <f t="shared" si="1"/>
        <v>1.3833333333332831</v>
      </c>
    </row>
    <row r="113" spans="1:5" x14ac:dyDescent="0.25">
      <c r="A113" s="1" t="s">
        <v>34</v>
      </c>
      <c r="C113" s="1">
        <v>9.7222222222220767E-4</v>
      </c>
      <c r="E113" s="2">
        <f t="shared" si="1"/>
        <v>1.399999999999979</v>
      </c>
    </row>
    <row r="114" spans="1:5" x14ac:dyDescent="0.25">
      <c r="A114" s="1" t="s">
        <v>34</v>
      </c>
      <c r="C114" s="1">
        <v>1.782407407407427E-3</v>
      </c>
      <c r="E114" s="2">
        <f t="shared" si="1"/>
        <v>2.5666666666666949</v>
      </c>
    </row>
    <row r="115" spans="1:5" x14ac:dyDescent="0.25">
      <c r="A115" s="1" t="s">
        <v>34</v>
      </c>
      <c r="C115" s="1">
        <v>1.5972222222222499E-3</v>
      </c>
      <c r="E115" s="2">
        <f t="shared" si="1"/>
        <v>2.3000000000000398</v>
      </c>
    </row>
    <row r="116" spans="1:5" x14ac:dyDescent="0.25">
      <c r="A116" s="1" t="s">
        <v>34</v>
      </c>
      <c r="C116" s="1">
        <v>1.9212962962963376E-3</v>
      </c>
      <c r="E116" s="2">
        <f t="shared" si="1"/>
        <v>2.7666666666667261</v>
      </c>
    </row>
    <row r="117" spans="1:5" x14ac:dyDescent="0.25">
      <c r="A117" s="1" t="s">
        <v>34</v>
      </c>
      <c r="C117" s="1">
        <v>9.2592592592599665E-4</v>
      </c>
      <c r="E117" s="2">
        <f t="shared" si="1"/>
        <v>1.3333333333334352</v>
      </c>
    </row>
    <row r="118" spans="1:5" x14ac:dyDescent="0.25">
      <c r="A118" s="1" t="s">
        <v>34</v>
      </c>
      <c r="C118" s="1">
        <v>1.7361111111110494E-3</v>
      </c>
      <c r="E118" s="2">
        <f t="shared" si="1"/>
        <v>2.4999999999999112</v>
      </c>
    </row>
    <row r="119" spans="1:5" x14ac:dyDescent="0.25">
      <c r="A119" s="1" t="s">
        <v>34</v>
      </c>
      <c r="C119" s="1">
        <v>1.4467592592593004E-3</v>
      </c>
      <c r="E119" s="2">
        <f t="shared" si="1"/>
        <v>2.0833333333333925</v>
      </c>
    </row>
    <row r="120" spans="1:5" x14ac:dyDescent="0.25">
      <c r="A120" s="1" t="s">
        <v>34</v>
      </c>
      <c r="C120" s="1">
        <v>1.4004629629630339E-3</v>
      </c>
      <c r="E120" s="2">
        <f t="shared" si="1"/>
        <v>2.0166666666667687</v>
      </c>
    </row>
    <row r="121" spans="1:5" x14ac:dyDescent="0.25">
      <c r="A121" s="1" t="s">
        <v>34</v>
      </c>
      <c r="C121" s="1">
        <v>4.0972222222221966E-3</v>
      </c>
      <c r="E121" s="2">
        <f t="shared" si="1"/>
        <v>5.8999999999999631</v>
      </c>
    </row>
    <row r="122" spans="1:5" x14ac:dyDescent="0.25">
      <c r="A122" s="1" t="s">
        <v>34</v>
      </c>
      <c r="C122" s="1">
        <v>3.1944444444443887E-3</v>
      </c>
      <c r="E122" s="2">
        <f t="shared" si="1"/>
        <v>4.5999999999999197</v>
      </c>
    </row>
    <row r="123" spans="1:5" x14ac:dyDescent="0.25">
      <c r="A123" s="1" t="s">
        <v>34</v>
      </c>
      <c r="C123" s="1">
        <v>3.0439814814814392E-3</v>
      </c>
      <c r="E123" s="2">
        <f t="shared" si="1"/>
        <v>4.3833333333332725</v>
      </c>
    </row>
    <row r="124" spans="1:5" x14ac:dyDescent="0.25">
      <c r="A124" s="1" t="s">
        <v>34</v>
      </c>
      <c r="C124" s="1">
        <v>4.6759259259259167E-3</v>
      </c>
      <c r="E124" s="2">
        <f t="shared" si="1"/>
        <v>6.7333333333333201</v>
      </c>
    </row>
    <row r="125" spans="1:5" x14ac:dyDescent="0.25">
      <c r="A125" s="1" t="s">
        <v>34</v>
      </c>
      <c r="C125" s="1">
        <v>1.1956018518518574E-2</v>
      </c>
      <c r="E125" s="2">
        <f t="shared" si="1"/>
        <v>17.216666666666747</v>
      </c>
    </row>
    <row r="126" spans="1:5" x14ac:dyDescent="0.25">
      <c r="A126" s="1" t="s">
        <v>34</v>
      </c>
      <c r="C126" s="1">
        <v>9.7222222222226318E-4</v>
      </c>
      <c r="E126" s="2">
        <f t="shared" si="1"/>
        <v>1.400000000000059</v>
      </c>
    </row>
    <row r="127" spans="1:5" x14ac:dyDescent="0.25">
      <c r="A127" s="1" t="s">
        <v>34</v>
      </c>
      <c r="C127" s="1">
        <v>1.1111111111110628E-3</v>
      </c>
      <c r="E127" s="2">
        <f t="shared" si="1"/>
        <v>1.5999999999999304</v>
      </c>
    </row>
    <row r="128" spans="1:5" x14ac:dyDescent="0.25">
      <c r="A128" s="1" t="s">
        <v>34</v>
      </c>
      <c r="C128" s="1">
        <v>9.9537037037034093E-4</v>
      </c>
      <c r="E128" s="2">
        <f t="shared" si="1"/>
        <v>1.4333333333332909</v>
      </c>
    </row>
    <row r="129" spans="1:5" x14ac:dyDescent="0.25">
      <c r="A129" s="1" t="s">
        <v>34</v>
      </c>
      <c r="C129" s="1">
        <v>1.2962962962962954E-3</v>
      </c>
      <c r="E129" s="2">
        <f t="shared" si="1"/>
        <v>1.8666666666666654</v>
      </c>
    </row>
    <row r="130" spans="1:5" x14ac:dyDescent="0.25">
      <c r="A130" s="1" t="s">
        <v>34</v>
      </c>
      <c r="C130" s="1">
        <v>1.3078703703703343E-3</v>
      </c>
      <c r="E130" s="2">
        <f t="shared" si="1"/>
        <v>1.8833333333332813</v>
      </c>
    </row>
    <row r="131" spans="1:5" x14ac:dyDescent="0.25">
      <c r="A131" s="1" t="s">
        <v>34</v>
      </c>
      <c r="C131" s="1">
        <v>4.3055555555555625E-3</v>
      </c>
      <c r="E131" s="2">
        <f t="shared" ref="E131:E194" si="2">C131*1440</f>
        <v>6.2000000000000099</v>
      </c>
    </row>
    <row r="132" spans="1:5" x14ac:dyDescent="0.25">
      <c r="A132" s="1" t="s">
        <v>34</v>
      </c>
      <c r="C132" s="1">
        <v>3.7731481481481643E-3</v>
      </c>
      <c r="E132" s="2">
        <f t="shared" si="2"/>
        <v>5.4333333333333567</v>
      </c>
    </row>
    <row r="133" spans="1:5" x14ac:dyDescent="0.25">
      <c r="A133" s="1" t="s">
        <v>34</v>
      </c>
      <c r="C133" s="1">
        <v>7.7199074074074114E-3</v>
      </c>
      <c r="E133" s="2">
        <f t="shared" si="2"/>
        <v>11.116666666666672</v>
      </c>
    </row>
    <row r="134" spans="1:5" x14ac:dyDescent="0.25">
      <c r="A134" s="1" t="s">
        <v>34</v>
      </c>
      <c r="C134" s="1">
        <v>1.087962962962985E-3</v>
      </c>
      <c r="E134" s="2">
        <f t="shared" si="2"/>
        <v>1.5666666666666984</v>
      </c>
    </row>
    <row r="135" spans="1:5" x14ac:dyDescent="0.25">
      <c r="A135" s="1" t="s">
        <v>34</v>
      </c>
      <c r="C135" s="1">
        <v>1.3078703703702788E-3</v>
      </c>
      <c r="E135" s="2">
        <f t="shared" si="2"/>
        <v>1.8833333333332014</v>
      </c>
    </row>
    <row r="136" spans="1:5" x14ac:dyDescent="0.25">
      <c r="A136" s="1" t="s">
        <v>34</v>
      </c>
      <c r="C136" s="1">
        <v>7.4074074074076401E-4</v>
      </c>
      <c r="E136" s="2">
        <f t="shared" si="2"/>
        <v>1.0666666666667002</v>
      </c>
    </row>
    <row r="137" spans="1:5" x14ac:dyDescent="0.25">
      <c r="A137" s="1" t="s">
        <v>34</v>
      </c>
      <c r="C137" s="1">
        <v>1.1921296296296124E-3</v>
      </c>
      <c r="E137" s="2">
        <f t="shared" si="2"/>
        <v>1.7166666666666419</v>
      </c>
    </row>
    <row r="138" spans="1:5" x14ac:dyDescent="0.25">
      <c r="A138" s="1" t="s">
        <v>34</v>
      </c>
      <c r="C138" s="1">
        <v>8.101851851851638E-4</v>
      </c>
      <c r="E138" s="2">
        <f t="shared" si="2"/>
        <v>1.1666666666666359</v>
      </c>
    </row>
    <row r="139" spans="1:5" x14ac:dyDescent="0.25">
      <c r="A139" s="1" t="s">
        <v>34</v>
      </c>
      <c r="C139" s="1">
        <v>1.331018518518523E-3</v>
      </c>
      <c r="E139" s="2">
        <f t="shared" si="2"/>
        <v>1.9166666666666732</v>
      </c>
    </row>
    <row r="140" spans="1:5" x14ac:dyDescent="0.25">
      <c r="A140" s="1" t="s">
        <v>34</v>
      </c>
      <c r="C140" s="1">
        <v>7.1759259259257524E-4</v>
      </c>
      <c r="E140" s="2">
        <f t="shared" si="2"/>
        <v>1.0333333333333083</v>
      </c>
    </row>
    <row r="141" spans="1:5" x14ac:dyDescent="0.25">
      <c r="A141" s="1" t="s">
        <v>34</v>
      </c>
      <c r="C141" s="1">
        <v>2.5810185185185519E-3</v>
      </c>
      <c r="E141" s="2">
        <f t="shared" si="2"/>
        <v>3.7166666666667147</v>
      </c>
    </row>
    <row r="142" spans="1:5" x14ac:dyDescent="0.25">
      <c r="A142" s="1" t="s">
        <v>34</v>
      </c>
      <c r="C142" s="1">
        <v>1.0879629629629295E-3</v>
      </c>
      <c r="E142" s="2">
        <f t="shared" si="2"/>
        <v>1.5666666666666185</v>
      </c>
    </row>
    <row r="143" spans="1:5" x14ac:dyDescent="0.25">
      <c r="A143" s="1" t="s">
        <v>34</v>
      </c>
      <c r="C143" s="1">
        <v>1.3078703703703898E-3</v>
      </c>
      <c r="E143" s="2">
        <f t="shared" si="2"/>
        <v>1.8833333333333613</v>
      </c>
    </row>
    <row r="144" spans="1:5" x14ac:dyDescent="0.25">
      <c r="A144" s="1" t="s">
        <v>34</v>
      </c>
      <c r="C144" s="1">
        <v>2.8009259259259567E-3</v>
      </c>
      <c r="E144" s="2">
        <f t="shared" si="2"/>
        <v>4.0333333333333776</v>
      </c>
    </row>
    <row r="145" spans="1:5" x14ac:dyDescent="0.25">
      <c r="A145" s="1" t="s">
        <v>34</v>
      </c>
      <c r="C145" s="1">
        <v>8.0324074074074048E-3</v>
      </c>
      <c r="E145" s="2">
        <f t="shared" si="2"/>
        <v>11.566666666666663</v>
      </c>
    </row>
    <row r="146" spans="1:5" x14ac:dyDescent="0.25">
      <c r="A146" s="1" t="s">
        <v>34</v>
      </c>
      <c r="C146" s="1">
        <v>4.7222222222222388E-3</v>
      </c>
      <c r="E146" s="2">
        <f t="shared" si="2"/>
        <v>6.8000000000000238</v>
      </c>
    </row>
    <row r="147" spans="1:5" x14ac:dyDescent="0.25">
      <c r="A147" s="1" t="s">
        <v>34</v>
      </c>
      <c r="C147" s="1">
        <v>5.8796296296296235E-3</v>
      </c>
      <c r="E147" s="2">
        <f t="shared" si="2"/>
        <v>8.4666666666666579</v>
      </c>
    </row>
    <row r="148" spans="1:5" x14ac:dyDescent="0.25">
      <c r="A148" s="1" t="s">
        <v>34</v>
      </c>
      <c r="C148" s="1">
        <v>1.1226851851852127E-3</v>
      </c>
      <c r="E148" s="2">
        <f t="shared" si="2"/>
        <v>1.6166666666667062</v>
      </c>
    </row>
    <row r="149" spans="1:5" x14ac:dyDescent="0.25">
      <c r="A149" s="1" t="s">
        <v>34</v>
      </c>
      <c r="C149" s="1">
        <v>8.553240740740764E-3</v>
      </c>
      <c r="E149" s="2">
        <f t="shared" si="2"/>
        <v>12.3166666666667</v>
      </c>
    </row>
    <row r="150" spans="1:5" x14ac:dyDescent="0.25">
      <c r="A150" s="1" t="s">
        <v>34</v>
      </c>
      <c r="C150" s="1">
        <v>5.3240740740745363E-4</v>
      </c>
      <c r="E150" s="2">
        <f t="shared" si="2"/>
        <v>0.76666666666673322</v>
      </c>
    </row>
    <row r="151" spans="1:5" x14ac:dyDescent="0.25">
      <c r="A151" s="1" t="s">
        <v>34</v>
      </c>
      <c r="C151" s="1">
        <v>8.9120370370365798E-4</v>
      </c>
      <c r="E151" s="2">
        <f t="shared" si="2"/>
        <v>1.2833333333332675</v>
      </c>
    </row>
    <row r="152" spans="1:5" x14ac:dyDescent="0.25">
      <c r="A152" s="1" t="s">
        <v>34</v>
      </c>
      <c r="C152" s="1">
        <v>7.407407407407085E-4</v>
      </c>
      <c r="E152" s="2">
        <f t="shared" si="2"/>
        <v>1.0666666666666202</v>
      </c>
    </row>
    <row r="153" spans="1:5" x14ac:dyDescent="0.25">
      <c r="A153" s="1" t="s">
        <v>34</v>
      </c>
      <c r="C153" s="1">
        <v>1.0185185185185297E-3</v>
      </c>
      <c r="E153" s="2">
        <f t="shared" si="2"/>
        <v>1.4666666666666828</v>
      </c>
    </row>
    <row r="154" spans="1:5" x14ac:dyDescent="0.25">
      <c r="A154" s="1" t="s">
        <v>34</v>
      </c>
      <c r="C154" s="1">
        <v>8.101851851851638E-4</v>
      </c>
      <c r="E154" s="2">
        <f t="shared" si="2"/>
        <v>1.1666666666666359</v>
      </c>
    </row>
    <row r="155" spans="1:5" x14ac:dyDescent="0.25">
      <c r="A155" s="1" t="s">
        <v>34</v>
      </c>
      <c r="C155" s="1">
        <v>2.0949074074073648E-3</v>
      </c>
      <c r="E155" s="2">
        <f t="shared" si="2"/>
        <v>3.0166666666666053</v>
      </c>
    </row>
    <row r="156" spans="1:5" x14ac:dyDescent="0.25">
      <c r="A156" s="1" t="s">
        <v>34</v>
      </c>
      <c r="C156" s="1">
        <v>1.0069444444444908E-3</v>
      </c>
      <c r="E156" s="2">
        <f t="shared" si="2"/>
        <v>1.4500000000000668</v>
      </c>
    </row>
    <row r="157" spans="1:5" x14ac:dyDescent="0.25">
      <c r="A157" s="1" t="s">
        <v>34</v>
      </c>
      <c r="C157" s="1">
        <v>7.8703703703708605E-4</v>
      </c>
      <c r="E157" s="2">
        <f t="shared" si="2"/>
        <v>1.1333333333334039</v>
      </c>
    </row>
    <row r="158" spans="1:5" x14ac:dyDescent="0.25">
      <c r="A158" s="1" t="s">
        <v>34</v>
      </c>
      <c r="C158" s="1">
        <v>7.2916666666666963E-4</v>
      </c>
      <c r="E158" s="2">
        <f t="shared" si="2"/>
        <v>1.0500000000000043</v>
      </c>
    </row>
    <row r="159" spans="1:5" x14ac:dyDescent="0.25">
      <c r="A159" s="1" t="s">
        <v>34</v>
      </c>
      <c r="C159" s="1">
        <v>9.8379629629630205E-4</v>
      </c>
      <c r="E159" s="2">
        <f t="shared" si="2"/>
        <v>1.416666666666675</v>
      </c>
    </row>
    <row r="160" spans="1:5" x14ac:dyDescent="0.25">
      <c r="A160" s="1" t="s">
        <v>34</v>
      </c>
      <c r="C160" s="1">
        <v>1.2615740740740122E-3</v>
      </c>
      <c r="E160" s="2">
        <f t="shared" si="2"/>
        <v>1.8166666666665776</v>
      </c>
    </row>
    <row r="161" spans="1:5" x14ac:dyDescent="0.25">
      <c r="A161" s="1" t="s">
        <v>34</v>
      </c>
      <c r="C161" s="1">
        <v>1.5277777777777946E-3</v>
      </c>
      <c r="E161" s="2">
        <f t="shared" si="2"/>
        <v>2.2000000000000242</v>
      </c>
    </row>
    <row r="162" spans="1:5" x14ac:dyDescent="0.25">
      <c r="A162" s="1" t="s">
        <v>34</v>
      </c>
      <c r="C162" s="1">
        <v>2.1180555555555536E-3</v>
      </c>
      <c r="E162" s="2">
        <f t="shared" si="2"/>
        <v>3.0499999999999972</v>
      </c>
    </row>
    <row r="163" spans="1:5" x14ac:dyDescent="0.25">
      <c r="A163" s="1" t="s">
        <v>34</v>
      </c>
      <c r="C163" s="1">
        <v>2.0949074074074758E-3</v>
      </c>
      <c r="E163" s="2">
        <f t="shared" si="2"/>
        <v>3.0166666666667652</v>
      </c>
    </row>
    <row r="164" spans="1:5" x14ac:dyDescent="0.25">
      <c r="A164" s="1" t="s">
        <v>34</v>
      </c>
      <c r="C164" s="1">
        <v>1.1342592592592515E-3</v>
      </c>
      <c r="E164" s="2">
        <f t="shared" si="2"/>
        <v>1.6333333333333222</v>
      </c>
    </row>
    <row r="165" spans="1:5" x14ac:dyDescent="0.25">
      <c r="A165" s="1" t="s">
        <v>34</v>
      </c>
      <c r="C165" s="1">
        <v>2.0601851851852482E-3</v>
      </c>
      <c r="E165" s="2">
        <f t="shared" si="2"/>
        <v>2.9666666666667574</v>
      </c>
    </row>
    <row r="166" spans="1:5" x14ac:dyDescent="0.25">
      <c r="A166" s="1" t="s">
        <v>34</v>
      </c>
      <c r="C166" s="1">
        <v>7.9861111111112493E-4</v>
      </c>
      <c r="E166" s="2">
        <f t="shared" si="2"/>
        <v>1.1500000000000199</v>
      </c>
    </row>
    <row r="167" spans="1:5" x14ac:dyDescent="0.25">
      <c r="A167" s="1" t="s">
        <v>34</v>
      </c>
      <c r="C167" s="1">
        <v>2.1412037037036313E-3</v>
      </c>
      <c r="E167" s="2">
        <f t="shared" si="2"/>
        <v>3.0833333333332291</v>
      </c>
    </row>
    <row r="168" spans="1:5" x14ac:dyDescent="0.25">
      <c r="A168" s="1" t="s">
        <v>34</v>
      </c>
      <c r="C168" s="1">
        <v>1.3194444444444287E-3</v>
      </c>
      <c r="E168" s="2">
        <f t="shared" si="2"/>
        <v>1.8999999999999773</v>
      </c>
    </row>
    <row r="169" spans="1:5" x14ac:dyDescent="0.25">
      <c r="A169" s="1" t="s">
        <v>34</v>
      </c>
      <c r="C169" s="1">
        <v>9.9537037037034093E-4</v>
      </c>
      <c r="E169" s="2">
        <f t="shared" si="2"/>
        <v>1.4333333333332909</v>
      </c>
    </row>
    <row r="170" spans="1:5" x14ac:dyDescent="0.25">
      <c r="A170" s="1" t="s">
        <v>34</v>
      </c>
      <c r="C170" s="1">
        <v>1.2615740740740122E-3</v>
      </c>
      <c r="E170" s="2">
        <f t="shared" si="2"/>
        <v>1.8166666666665776</v>
      </c>
    </row>
    <row r="171" spans="1:5" x14ac:dyDescent="0.25">
      <c r="A171" s="1" t="s">
        <v>34</v>
      </c>
      <c r="C171" s="1">
        <v>7.8587962962962665E-3</v>
      </c>
      <c r="E171" s="2">
        <f t="shared" si="2"/>
        <v>11.316666666666624</v>
      </c>
    </row>
    <row r="172" spans="1:5" x14ac:dyDescent="0.25">
      <c r="A172" s="1" t="s">
        <v>36</v>
      </c>
      <c r="C172" s="1">
        <v>1.8287037037036935E-3</v>
      </c>
      <c r="E172" s="2">
        <f t="shared" si="2"/>
        <v>2.6333333333333186</v>
      </c>
    </row>
    <row r="173" spans="1:5" x14ac:dyDescent="0.25">
      <c r="A173" s="1" t="s">
        <v>36</v>
      </c>
      <c r="C173" s="1">
        <v>1.2615740740740122E-3</v>
      </c>
      <c r="E173" s="2">
        <f t="shared" si="2"/>
        <v>1.8166666666665776</v>
      </c>
    </row>
    <row r="174" spans="1:5" x14ac:dyDescent="0.25">
      <c r="A174" s="1" t="s">
        <v>36</v>
      </c>
      <c r="C174" s="1">
        <v>1.5162037037037002E-3</v>
      </c>
      <c r="E174" s="2">
        <f t="shared" si="2"/>
        <v>2.1833333333333282</v>
      </c>
    </row>
    <row r="175" spans="1:5" x14ac:dyDescent="0.25">
      <c r="A175" s="1" t="s">
        <v>36</v>
      </c>
      <c r="C175" s="1">
        <v>1.5624999999999667E-3</v>
      </c>
      <c r="E175" s="2">
        <f t="shared" si="2"/>
        <v>2.249999999999952</v>
      </c>
    </row>
    <row r="176" spans="1:5" x14ac:dyDescent="0.25">
      <c r="A176" s="1" t="s">
        <v>36</v>
      </c>
      <c r="C176" s="1">
        <v>7.2916666666666963E-4</v>
      </c>
      <c r="E176" s="2">
        <f t="shared" si="2"/>
        <v>1.0500000000000043</v>
      </c>
    </row>
    <row r="177" spans="1:5" x14ac:dyDescent="0.25">
      <c r="A177" s="1" t="s">
        <v>36</v>
      </c>
      <c r="C177" s="1">
        <v>1.087962962962985E-3</v>
      </c>
      <c r="E177" s="2">
        <f t="shared" si="2"/>
        <v>1.5666666666666984</v>
      </c>
    </row>
    <row r="178" spans="1:5" x14ac:dyDescent="0.25">
      <c r="A178" s="1" t="s">
        <v>36</v>
      </c>
      <c r="C178" s="1">
        <v>1.1342592592592515E-3</v>
      </c>
      <c r="E178" s="2">
        <f t="shared" si="2"/>
        <v>1.6333333333333222</v>
      </c>
    </row>
    <row r="179" spans="1:5" x14ac:dyDescent="0.25">
      <c r="A179" s="1" t="s">
        <v>36</v>
      </c>
      <c r="C179" s="1">
        <v>7.8703703703708605E-4</v>
      </c>
      <c r="E179" s="2">
        <f t="shared" si="2"/>
        <v>1.1333333333334039</v>
      </c>
    </row>
    <row r="180" spans="1:5" x14ac:dyDescent="0.25">
      <c r="A180" s="1" t="s">
        <v>36</v>
      </c>
      <c r="C180" s="1">
        <v>7.1759259259251973E-4</v>
      </c>
      <c r="E180" s="2">
        <f t="shared" si="2"/>
        <v>1.0333333333332284</v>
      </c>
    </row>
    <row r="181" spans="1:5" x14ac:dyDescent="0.25">
      <c r="A181" s="1" t="s">
        <v>36</v>
      </c>
      <c r="C181" s="1">
        <v>1.0300925925925686E-3</v>
      </c>
      <c r="E181" s="2">
        <f t="shared" si="2"/>
        <v>1.4833333333332988</v>
      </c>
    </row>
    <row r="182" spans="1:5" x14ac:dyDescent="0.25">
      <c r="A182" s="1" t="s">
        <v>36</v>
      </c>
      <c r="C182" s="1">
        <v>1.4004629629630339E-3</v>
      </c>
      <c r="E182" s="2">
        <f t="shared" si="2"/>
        <v>2.0166666666667687</v>
      </c>
    </row>
    <row r="183" spans="1:5" x14ac:dyDescent="0.25">
      <c r="A183" s="1" t="s">
        <v>36</v>
      </c>
      <c r="C183" s="1">
        <v>2.4652777777778301E-3</v>
      </c>
      <c r="E183" s="2">
        <f t="shared" si="2"/>
        <v>3.5500000000000753</v>
      </c>
    </row>
    <row r="184" spans="1:5" x14ac:dyDescent="0.25">
      <c r="A184" s="1" t="s">
        <v>36</v>
      </c>
      <c r="C184" s="1">
        <v>2.0833333333333259E-3</v>
      </c>
      <c r="E184" s="2">
        <f t="shared" si="2"/>
        <v>2.9999999999999893</v>
      </c>
    </row>
    <row r="185" spans="1:5" x14ac:dyDescent="0.25">
      <c r="A185" s="1" t="s">
        <v>36</v>
      </c>
      <c r="C185" s="1">
        <v>4.3750000000000178E-3</v>
      </c>
      <c r="E185" s="2">
        <f t="shared" si="2"/>
        <v>6.3000000000000256</v>
      </c>
    </row>
    <row r="186" spans="1:5" x14ac:dyDescent="0.25">
      <c r="A186" s="1" t="s">
        <v>36</v>
      </c>
      <c r="C186" s="1">
        <v>5.1041666666666874E-3</v>
      </c>
      <c r="E186" s="2">
        <f t="shared" si="2"/>
        <v>7.3500000000000298</v>
      </c>
    </row>
    <row r="187" spans="1:5" x14ac:dyDescent="0.25">
      <c r="A187" s="1" t="s">
        <v>36</v>
      </c>
      <c r="C187" s="1">
        <v>6.1458333333332948E-3</v>
      </c>
      <c r="E187" s="2">
        <f t="shared" si="2"/>
        <v>8.8499999999999446</v>
      </c>
    </row>
    <row r="188" spans="1:5" x14ac:dyDescent="0.25">
      <c r="A188" s="1" t="s">
        <v>36</v>
      </c>
      <c r="C188" s="1">
        <v>1.1689814814814792E-3</v>
      </c>
      <c r="E188" s="2">
        <f t="shared" si="2"/>
        <v>1.68333333333333</v>
      </c>
    </row>
    <row r="189" spans="1:5" x14ac:dyDescent="0.25">
      <c r="A189" s="1" t="s">
        <v>36</v>
      </c>
      <c r="C189" s="1">
        <v>1.0532407407406463E-3</v>
      </c>
      <c r="E189" s="2">
        <f t="shared" si="2"/>
        <v>1.5166666666665307</v>
      </c>
    </row>
    <row r="190" spans="1:5" x14ac:dyDescent="0.25">
      <c r="A190" s="1" t="s">
        <v>36</v>
      </c>
      <c r="C190" s="1">
        <v>1.3078703703703898E-3</v>
      </c>
      <c r="E190" s="2">
        <f t="shared" si="2"/>
        <v>1.8833333333333613</v>
      </c>
    </row>
    <row r="191" spans="1:5" x14ac:dyDescent="0.25">
      <c r="A191" s="1" t="s">
        <v>36</v>
      </c>
      <c r="C191" s="1">
        <v>9.9537037037045195E-4</v>
      </c>
      <c r="E191" s="2">
        <f t="shared" si="2"/>
        <v>1.4333333333334508</v>
      </c>
    </row>
    <row r="192" spans="1:5" x14ac:dyDescent="0.25">
      <c r="A192" s="1" t="s">
        <v>36</v>
      </c>
      <c r="C192" s="1">
        <v>6.8287037037029208E-4</v>
      </c>
      <c r="E192" s="2">
        <f t="shared" si="2"/>
        <v>0.98333333333322059</v>
      </c>
    </row>
    <row r="193" spans="1:5" x14ac:dyDescent="0.25">
      <c r="A193" s="1" t="s">
        <v>36</v>
      </c>
      <c r="C193" s="1">
        <v>1.1226851851851016E-3</v>
      </c>
      <c r="E193" s="2">
        <f t="shared" si="2"/>
        <v>1.6166666666665463</v>
      </c>
    </row>
    <row r="194" spans="1:5" x14ac:dyDescent="0.25">
      <c r="A194" s="1" t="s">
        <v>36</v>
      </c>
      <c r="C194" s="1">
        <v>1.7708333333333881E-3</v>
      </c>
      <c r="E194" s="2">
        <f t="shared" si="2"/>
        <v>2.5500000000000789</v>
      </c>
    </row>
    <row r="195" spans="1:5" x14ac:dyDescent="0.25">
      <c r="A195" s="1" t="s">
        <v>36</v>
      </c>
      <c r="C195" s="1">
        <v>2.9976851851851727E-3</v>
      </c>
      <c r="E195" s="2">
        <f t="shared" ref="E195:E206" si="3">C195*1440</f>
        <v>4.3166666666666487</v>
      </c>
    </row>
    <row r="196" spans="1:5" x14ac:dyDescent="0.25">
      <c r="A196" s="1" t="s">
        <v>36</v>
      </c>
      <c r="C196" s="1">
        <v>6.5972222222222543E-3</v>
      </c>
      <c r="E196" s="2">
        <f t="shared" si="3"/>
        <v>9.5000000000000462</v>
      </c>
    </row>
    <row r="197" spans="1:5" x14ac:dyDescent="0.25">
      <c r="A197" s="1" t="s">
        <v>36</v>
      </c>
      <c r="C197" s="1">
        <v>1.9907407407406819E-3</v>
      </c>
      <c r="E197" s="2">
        <f t="shared" si="3"/>
        <v>2.8666666666665819</v>
      </c>
    </row>
    <row r="198" spans="1:5" x14ac:dyDescent="0.25">
      <c r="A198" s="1" t="s">
        <v>36</v>
      </c>
      <c r="C198" s="1">
        <v>1.0138888888888919E-2</v>
      </c>
      <c r="E198" s="2">
        <f t="shared" si="3"/>
        <v>14.600000000000044</v>
      </c>
    </row>
    <row r="199" spans="1:5" x14ac:dyDescent="0.25">
      <c r="A199" s="1" t="s">
        <v>36</v>
      </c>
      <c r="C199" s="1">
        <v>2.5000000000000577E-3</v>
      </c>
      <c r="E199" s="2">
        <f t="shared" si="3"/>
        <v>3.6000000000000831</v>
      </c>
    </row>
    <row r="200" spans="1:5" x14ac:dyDescent="0.25">
      <c r="A200" s="1" t="s">
        <v>36</v>
      </c>
      <c r="C200" s="1">
        <v>1.2615740740740122E-3</v>
      </c>
      <c r="E200" s="2">
        <f t="shared" si="3"/>
        <v>1.8166666666665776</v>
      </c>
    </row>
    <row r="201" spans="1:5" x14ac:dyDescent="0.25">
      <c r="A201" s="1" t="s">
        <v>36</v>
      </c>
      <c r="C201" s="1">
        <v>1.1574074074073293E-3</v>
      </c>
      <c r="E201" s="2">
        <f t="shared" si="3"/>
        <v>1.6666666666665542</v>
      </c>
    </row>
    <row r="202" spans="1:5" x14ac:dyDescent="0.25">
      <c r="A202" s="1" t="s">
        <v>36</v>
      </c>
      <c r="C202" s="1">
        <v>1.7939814814814659E-3</v>
      </c>
      <c r="E202" s="2">
        <f t="shared" si="3"/>
        <v>2.5833333333333108</v>
      </c>
    </row>
    <row r="203" spans="1:5" x14ac:dyDescent="0.25">
      <c r="A203" s="1" t="s">
        <v>36</v>
      </c>
      <c r="C203" s="1">
        <v>1.6435185185185164E-3</v>
      </c>
      <c r="E203" s="2">
        <f t="shared" si="3"/>
        <v>2.3666666666666636</v>
      </c>
    </row>
    <row r="204" spans="1:5" x14ac:dyDescent="0.25">
      <c r="A204" s="1" t="s">
        <v>36</v>
      </c>
      <c r="C204" s="1">
        <v>4.629629629628873E-4</v>
      </c>
      <c r="E204" s="2">
        <f t="shared" si="3"/>
        <v>0.66666666666655772</v>
      </c>
    </row>
    <row r="205" spans="1:5" x14ac:dyDescent="0.25">
      <c r="A205" s="1" t="s">
        <v>36</v>
      </c>
      <c r="C205" s="1">
        <v>6.250000000000977E-4</v>
      </c>
      <c r="E205" s="2">
        <f t="shared" si="3"/>
        <v>0.90000000000014069</v>
      </c>
    </row>
    <row r="206" spans="1:5" x14ac:dyDescent="0.25">
      <c r="A206" s="1" t="s">
        <v>36</v>
      </c>
      <c r="C206" s="1">
        <v>3.159722222222161E-3</v>
      </c>
      <c r="E206" s="2">
        <f t="shared" si="3"/>
        <v>4.5499999999999119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2314A-6016-4066-A504-201BF7408C5E}">
  <dimension ref="A1:Q206"/>
  <sheetViews>
    <sheetView workbookViewId="0">
      <selection activeCell="C1" sqref="C1"/>
    </sheetView>
  </sheetViews>
  <sheetFormatPr defaultRowHeight="15" x14ac:dyDescent="0.25"/>
  <cols>
    <col min="2" max="2" width="15.5703125" customWidth="1"/>
    <col min="3" max="3" width="17.85546875" customWidth="1"/>
    <col min="4" max="4" width="17.85546875" style="2" customWidth="1"/>
    <col min="5" max="5" width="17.85546875" customWidth="1"/>
    <col min="6" max="6" width="9.140625" style="2"/>
    <col min="15" max="15" width="21.85546875" style="2" customWidth="1"/>
    <col min="16" max="17" width="17.85546875" style="2" customWidth="1"/>
  </cols>
  <sheetData>
    <row r="1" spans="1:5" x14ac:dyDescent="0.25">
      <c r="A1" s="1" t="s">
        <v>45</v>
      </c>
      <c r="B1" s="1" t="s">
        <v>542</v>
      </c>
      <c r="C1" s="1" t="s">
        <v>713</v>
      </c>
      <c r="E1" s="1"/>
    </row>
    <row r="2" spans="1:5" x14ac:dyDescent="0.25">
      <c r="A2" s="1" t="s">
        <v>33</v>
      </c>
      <c r="B2" s="1">
        <v>6.6550925925925597E-3</v>
      </c>
      <c r="C2" s="2">
        <f>B2*1440</f>
        <v>9.583333333333286</v>
      </c>
      <c r="E2" s="1"/>
    </row>
    <row r="3" spans="1:5" x14ac:dyDescent="0.25">
      <c r="A3" s="1" t="s">
        <v>33</v>
      </c>
      <c r="B3" s="1">
        <v>8.8310185185185297E-3</v>
      </c>
      <c r="C3" s="2">
        <f t="shared" ref="C3:C66" si="0">B3*1440</f>
        <v>12.716666666666683</v>
      </c>
      <c r="E3" s="1"/>
    </row>
    <row r="4" spans="1:5" x14ac:dyDescent="0.25">
      <c r="A4" s="1" t="s">
        <v>33</v>
      </c>
      <c r="B4" s="1">
        <v>1.186342592592593E-2</v>
      </c>
      <c r="C4" s="2">
        <f t="shared" si="0"/>
        <v>17.083333333333339</v>
      </c>
      <c r="E4" s="1"/>
    </row>
    <row r="5" spans="1:5" x14ac:dyDescent="0.25">
      <c r="A5" s="1" t="s">
        <v>33</v>
      </c>
      <c r="B5" s="1">
        <v>6.6898148148147873E-3</v>
      </c>
      <c r="C5" s="2">
        <f t="shared" si="0"/>
        <v>9.6333333333332938</v>
      </c>
      <c r="E5" s="1"/>
    </row>
    <row r="6" spans="1:5" x14ac:dyDescent="0.25">
      <c r="A6" s="1" t="s">
        <v>33</v>
      </c>
      <c r="B6" s="1">
        <v>5.5555555555555358E-3</v>
      </c>
      <c r="C6" s="2">
        <f t="shared" si="0"/>
        <v>7.9999999999999716</v>
      </c>
      <c r="E6" s="1"/>
    </row>
    <row r="7" spans="1:5" x14ac:dyDescent="0.25">
      <c r="A7" s="1" t="s">
        <v>33</v>
      </c>
      <c r="B7" s="1">
        <v>8.5300925925926308E-3</v>
      </c>
      <c r="C7" s="2">
        <f t="shared" si="0"/>
        <v>12.283333333333388</v>
      </c>
      <c r="E7" s="1"/>
    </row>
    <row r="8" spans="1:5" x14ac:dyDescent="0.25">
      <c r="A8" s="1" t="s">
        <v>33</v>
      </c>
      <c r="B8" s="1">
        <v>6.423611111111116E-3</v>
      </c>
      <c r="C8" s="2">
        <f t="shared" si="0"/>
        <v>9.2500000000000071</v>
      </c>
      <c r="E8" s="1"/>
    </row>
    <row r="9" spans="1:5" x14ac:dyDescent="0.25">
      <c r="A9" s="1" t="s">
        <v>33</v>
      </c>
      <c r="B9" s="1">
        <v>1.5972222222222165E-2</v>
      </c>
      <c r="C9" s="2">
        <f t="shared" si="0"/>
        <v>22.999999999999918</v>
      </c>
      <c r="E9" s="1"/>
    </row>
    <row r="10" spans="1:5" x14ac:dyDescent="0.25">
      <c r="A10" s="1" t="s">
        <v>33</v>
      </c>
      <c r="B10" s="1">
        <v>9.8842592592592871E-3</v>
      </c>
      <c r="C10" s="2">
        <f t="shared" si="0"/>
        <v>14.233333333333373</v>
      </c>
      <c r="E10" s="1"/>
    </row>
    <row r="11" spans="1:5" x14ac:dyDescent="0.25">
      <c r="A11" s="1" t="s">
        <v>33</v>
      </c>
      <c r="B11" s="1">
        <v>1.3078703703703676E-2</v>
      </c>
      <c r="C11" s="2">
        <f t="shared" si="0"/>
        <v>18.833333333333293</v>
      </c>
      <c r="E11" s="1"/>
    </row>
    <row r="12" spans="1:5" x14ac:dyDescent="0.25">
      <c r="A12" s="1" t="s">
        <v>33</v>
      </c>
      <c r="B12" s="1">
        <v>1.0231481481481453E-2</v>
      </c>
      <c r="C12" s="2">
        <f t="shared" si="0"/>
        <v>14.733333333333292</v>
      </c>
      <c r="E12" s="1"/>
    </row>
    <row r="13" spans="1:5" x14ac:dyDescent="0.25">
      <c r="A13" s="1" t="s">
        <v>33</v>
      </c>
      <c r="B13" s="1">
        <v>9.0162037037037068E-3</v>
      </c>
      <c r="C13" s="2">
        <f t="shared" si="0"/>
        <v>12.983333333333338</v>
      </c>
      <c r="E13" s="1"/>
    </row>
    <row r="14" spans="1:5" x14ac:dyDescent="0.25">
      <c r="A14" s="1" t="s">
        <v>33</v>
      </c>
      <c r="B14" s="1">
        <v>1.1111111111111072E-2</v>
      </c>
      <c r="C14" s="2">
        <f t="shared" si="0"/>
        <v>15.999999999999943</v>
      </c>
      <c r="E14" s="1"/>
    </row>
    <row r="15" spans="1:5" x14ac:dyDescent="0.25">
      <c r="A15" s="1" t="s">
        <v>33</v>
      </c>
      <c r="B15" s="1">
        <v>6.2615740740741277E-3</v>
      </c>
      <c r="C15" s="2">
        <f t="shared" si="0"/>
        <v>9.0166666666667439</v>
      </c>
      <c r="E15" s="1"/>
    </row>
    <row r="16" spans="1:5" x14ac:dyDescent="0.25">
      <c r="A16" s="1" t="s">
        <v>33</v>
      </c>
      <c r="B16" s="1">
        <v>1.5613425925925961E-2</v>
      </c>
      <c r="C16" s="2">
        <f t="shared" si="0"/>
        <v>22.483333333333384</v>
      </c>
      <c r="E16" s="1"/>
    </row>
    <row r="17" spans="1:5" x14ac:dyDescent="0.25">
      <c r="A17" s="1" t="s">
        <v>33</v>
      </c>
      <c r="B17" s="1">
        <v>1.3055555555555598E-2</v>
      </c>
      <c r="C17" s="2">
        <f t="shared" si="0"/>
        <v>18.800000000000061</v>
      </c>
      <c r="E17" s="1"/>
    </row>
    <row r="18" spans="1:5" x14ac:dyDescent="0.25">
      <c r="A18" s="1" t="s">
        <v>33</v>
      </c>
      <c r="B18" s="1">
        <v>9.5370370370370106E-3</v>
      </c>
      <c r="C18" s="2">
        <f t="shared" si="0"/>
        <v>13.733333333333295</v>
      </c>
      <c r="E18" s="1"/>
    </row>
    <row r="19" spans="1:5" x14ac:dyDescent="0.25">
      <c r="A19" s="1" t="s">
        <v>33</v>
      </c>
      <c r="B19" s="1">
        <v>9.5138888888888218E-3</v>
      </c>
      <c r="C19" s="2">
        <f t="shared" si="0"/>
        <v>13.699999999999903</v>
      </c>
      <c r="E19" s="1"/>
    </row>
    <row r="20" spans="1:5" x14ac:dyDescent="0.25">
      <c r="A20" s="1" t="s">
        <v>33</v>
      </c>
      <c r="B20" s="1">
        <v>9.5370370370370106E-3</v>
      </c>
      <c r="C20" s="2">
        <f t="shared" si="0"/>
        <v>13.733333333333295</v>
      </c>
      <c r="E20" s="1"/>
    </row>
    <row r="21" spans="1:5" x14ac:dyDescent="0.25">
      <c r="A21" s="1" t="s">
        <v>33</v>
      </c>
      <c r="B21" s="1">
        <v>1.0648148148148184E-2</v>
      </c>
      <c r="C21" s="2">
        <f t="shared" si="0"/>
        <v>15.333333333333385</v>
      </c>
      <c r="E21" s="1"/>
    </row>
    <row r="22" spans="1:5" x14ac:dyDescent="0.25">
      <c r="A22" s="1" t="s">
        <v>33</v>
      </c>
      <c r="B22" s="1">
        <v>6.1805555555555225E-3</v>
      </c>
      <c r="C22" s="2">
        <f t="shared" si="0"/>
        <v>8.8999999999999524</v>
      </c>
      <c r="E22" s="1"/>
    </row>
    <row r="23" spans="1:5" x14ac:dyDescent="0.25">
      <c r="A23" s="1" t="s">
        <v>33</v>
      </c>
      <c r="B23" s="1">
        <v>8.9467592592592515E-3</v>
      </c>
      <c r="C23" s="2">
        <f t="shared" si="0"/>
        <v>12.883333333333322</v>
      </c>
      <c r="E23" s="1"/>
    </row>
    <row r="24" spans="1:5" x14ac:dyDescent="0.25">
      <c r="A24" s="1" t="s">
        <v>33</v>
      </c>
      <c r="B24" s="1">
        <v>6.7129629629629761E-3</v>
      </c>
      <c r="C24" s="2">
        <f t="shared" si="0"/>
        <v>9.6666666666666856</v>
      </c>
      <c r="E24" s="1"/>
    </row>
    <row r="25" spans="1:5" x14ac:dyDescent="0.25">
      <c r="A25" s="1" t="s">
        <v>33</v>
      </c>
      <c r="B25" s="1">
        <v>1.6006944444444504E-2</v>
      </c>
      <c r="C25" s="2">
        <f t="shared" si="0"/>
        <v>23.050000000000086</v>
      </c>
      <c r="E25" s="1"/>
    </row>
    <row r="26" spans="1:5" x14ac:dyDescent="0.25">
      <c r="A26" s="1" t="s">
        <v>33</v>
      </c>
      <c r="B26" s="1">
        <v>4.3518518518518845E-3</v>
      </c>
      <c r="C26" s="2">
        <f t="shared" si="0"/>
        <v>6.2666666666667137</v>
      </c>
      <c r="E26" s="1"/>
    </row>
    <row r="27" spans="1:5" x14ac:dyDescent="0.25">
      <c r="A27" s="1" t="s">
        <v>33</v>
      </c>
      <c r="B27" s="1">
        <v>1.4988425925925863E-2</v>
      </c>
      <c r="C27" s="2">
        <f t="shared" si="0"/>
        <v>21.583333333333243</v>
      </c>
      <c r="E27" s="1"/>
    </row>
    <row r="28" spans="1:5" x14ac:dyDescent="0.25">
      <c r="A28" s="1" t="s">
        <v>33</v>
      </c>
      <c r="B28" s="1">
        <v>1.317129629629632E-2</v>
      </c>
      <c r="C28" s="2">
        <f t="shared" si="0"/>
        <v>18.966666666666701</v>
      </c>
      <c r="E28" s="1"/>
    </row>
    <row r="29" spans="1:5" x14ac:dyDescent="0.25">
      <c r="A29" s="1" t="s">
        <v>33</v>
      </c>
      <c r="B29" s="1">
        <v>6.7361111111110539E-3</v>
      </c>
      <c r="C29" s="2">
        <f t="shared" si="0"/>
        <v>9.6999999999999176</v>
      </c>
      <c r="E29" s="1"/>
    </row>
    <row r="30" spans="1:5" x14ac:dyDescent="0.25">
      <c r="A30" s="1" t="s">
        <v>33</v>
      </c>
      <c r="B30" s="1">
        <v>1.938657407407407E-2</v>
      </c>
      <c r="C30" s="2">
        <f t="shared" si="0"/>
        <v>27.916666666666661</v>
      </c>
      <c r="E30" s="1"/>
    </row>
    <row r="31" spans="1:5" x14ac:dyDescent="0.25">
      <c r="A31" s="1" t="s">
        <v>33</v>
      </c>
      <c r="B31" s="1">
        <v>7.3379629629629628E-3</v>
      </c>
      <c r="C31" s="2">
        <f t="shared" si="0"/>
        <v>10.566666666666666</v>
      </c>
      <c r="E31" s="1"/>
    </row>
    <row r="32" spans="1:5" x14ac:dyDescent="0.25">
      <c r="A32" s="1" t="s">
        <v>33</v>
      </c>
      <c r="B32" s="1">
        <v>1.2326388888888928E-2</v>
      </c>
      <c r="C32" s="2">
        <f t="shared" si="0"/>
        <v>17.750000000000057</v>
      </c>
      <c r="E32" s="1"/>
    </row>
    <row r="33" spans="1:5" x14ac:dyDescent="0.25">
      <c r="A33" s="1" t="s">
        <v>33</v>
      </c>
      <c r="B33" s="1">
        <v>9.7453703703703765E-3</v>
      </c>
      <c r="C33" s="2">
        <f t="shared" si="0"/>
        <v>14.033333333333342</v>
      </c>
      <c r="E33" s="1"/>
    </row>
    <row r="34" spans="1:5" x14ac:dyDescent="0.25">
      <c r="A34" s="1" t="s">
        <v>33</v>
      </c>
      <c r="B34" s="1">
        <v>1.591435185185186E-2</v>
      </c>
      <c r="C34" s="2">
        <f t="shared" si="0"/>
        <v>22.916666666666679</v>
      </c>
      <c r="E34" s="1"/>
    </row>
    <row r="35" spans="1:5" x14ac:dyDescent="0.25">
      <c r="A35" s="1" t="s">
        <v>33</v>
      </c>
      <c r="B35" s="1">
        <v>1.0694444444444451E-2</v>
      </c>
      <c r="C35" s="2">
        <f t="shared" si="0"/>
        <v>15.400000000000009</v>
      </c>
      <c r="E35" s="1"/>
    </row>
    <row r="36" spans="1:5" x14ac:dyDescent="0.25">
      <c r="A36" s="1" t="s">
        <v>33</v>
      </c>
      <c r="B36" s="1">
        <v>5.1504629629629539E-3</v>
      </c>
      <c r="C36" s="2">
        <f t="shared" si="0"/>
        <v>7.4166666666666536</v>
      </c>
      <c r="E36" s="1"/>
    </row>
    <row r="37" spans="1:5" x14ac:dyDescent="0.25">
      <c r="A37" s="1" t="s">
        <v>33</v>
      </c>
      <c r="B37" s="1">
        <v>6.7592592592593537E-3</v>
      </c>
      <c r="C37" s="2">
        <f t="shared" si="0"/>
        <v>9.7333333333334693</v>
      </c>
    </row>
    <row r="38" spans="1:5" x14ac:dyDescent="0.25">
      <c r="A38" s="1" t="s">
        <v>33</v>
      </c>
      <c r="B38" s="1">
        <v>8.7847222222222632E-3</v>
      </c>
      <c r="C38" s="2">
        <f t="shared" si="0"/>
        <v>12.650000000000059</v>
      </c>
    </row>
    <row r="39" spans="1:5" x14ac:dyDescent="0.25">
      <c r="A39" s="1" t="s">
        <v>33</v>
      </c>
      <c r="B39" s="1">
        <v>8.1944444444443931E-3</v>
      </c>
      <c r="C39" s="2">
        <f t="shared" si="0"/>
        <v>11.799999999999926</v>
      </c>
    </row>
    <row r="40" spans="1:5" x14ac:dyDescent="0.25">
      <c r="A40" s="1" t="s">
        <v>33</v>
      </c>
      <c r="B40" s="1">
        <v>8.0324074074074048E-3</v>
      </c>
      <c r="C40" s="2">
        <f t="shared" si="0"/>
        <v>11.566666666666663</v>
      </c>
    </row>
    <row r="41" spans="1:5" x14ac:dyDescent="0.25">
      <c r="A41" s="1" t="s">
        <v>33</v>
      </c>
      <c r="B41" s="1">
        <v>1.1516203703703654E-2</v>
      </c>
      <c r="C41" s="2">
        <f t="shared" si="0"/>
        <v>16.583333333333261</v>
      </c>
    </row>
    <row r="42" spans="1:5" x14ac:dyDescent="0.25">
      <c r="A42" s="1" t="s">
        <v>33</v>
      </c>
      <c r="B42" s="1">
        <v>3.5416666666666652E-3</v>
      </c>
      <c r="C42" s="2">
        <f t="shared" si="0"/>
        <v>5.0999999999999979</v>
      </c>
    </row>
    <row r="43" spans="1:5" x14ac:dyDescent="0.25">
      <c r="A43" s="1" t="s">
        <v>33</v>
      </c>
      <c r="B43" s="1">
        <v>1.4479166666666654E-2</v>
      </c>
      <c r="C43" s="2">
        <f t="shared" si="0"/>
        <v>20.84999999999998</v>
      </c>
    </row>
    <row r="44" spans="1:5" x14ac:dyDescent="0.25">
      <c r="A44" s="1" t="s">
        <v>33</v>
      </c>
      <c r="B44" s="1">
        <v>6.4120370370370772E-3</v>
      </c>
      <c r="C44" s="2">
        <f t="shared" si="0"/>
        <v>9.2333333333333911</v>
      </c>
    </row>
    <row r="45" spans="1:5" x14ac:dyDescent="0.25">
      <c r="A45" s="1" t="s">
        <v>33</v>
      </c>
      <c r="B45" s="1">
        <v>1.4201388888888888E-2</v>
      </c>
      <c r="C45" s="2">
        <f t="shared" si="0"/>
        <v>20.45</v>
      </c>
    </row>
    <row r="46" spans="1:5" x14ac:dyDescent="0.25">
      <c r="A46" s="1" t="s">
        <v>33</v>
      </c>
      <c r="B46" s="1">
        <v>1.2071759259259296E-2</v>
      </c>
      <c r="C46" s="2">
        <f t="shared" si="0"/>
        <v>17.383333333333386</v>
      </c>
    </row>
    <row r="47" spans="1:5" x14ac:dyDescent="0.25">
      <c r="A47" s="1" t="s">
        <v>33</v>
      </c>
      <c r="B47" s="1">
        <v>1.4212962962962927E-2</v>
      </c>
      <c r="C47" s="2">
        <f t="shared" si="0"/>
        <v>20.466666666666615</v>
      </c>
    </row>
    <row r="48" spans="1:5" x14ac:dyDescent="0.25">
      <c r="A48" s="1" t="s">
        <v>33</v>
      </c>
      <c r="B48" s="1">
        <v>7.2916666666666963E-3</v>
      </c>
      <c r="C48" s="2">
        <f t="shared" si="0"/>
        <v>10.500000000000043</v>
      </c>
    </row>
    <row r="49" spans="1:3" x14ac:dyDescent="0.25">
      <c r="A49" s="1" t="s">
        <v>33</v>
      </c>
      <c r="B49" s="1">
        <v>1.591435185185186E-2</v>
      </c>
      <c r="C49" s="2">
        <f t="shared" si="0"/>
        <v>22.916666666666679</v>
      </c>
    </row>
    <row r="50" spans="1:3" x14ac:dyDescent="0.25">
      <c r="A50" s="1" t="s">
        <v>33</v>
      </c>
      <c r="B50" s="1">
        <v>1.5324074074074101E-2</v>
      </c>
      <c r="C50" s="2">
        <f t="shared" si="0"/>
        <v>22.066666666666706</v>
      </c>
    </row>
    <row r="51" spans="1:3" x14ac:dyDescent="0.25">
      <c r="A51" s="1" t="s">
        <v>33</v>
      </c>
      <c r="B51" s="1">
        <v>5.7986111111111294E-3</v>
      </c>
      <c r="C51" s="2">
        <f t="shared" si="0"/>
        <v>8.3500000000000263</v>
      </c>
    </row>
    <row r="52" spans="1:3" x14ac:dyDescent="0.25">
      <c r="A52" s="1" t="s">
        <v>33</v>
      </c>
      <c r="B52" s="1">
        <v>5.1620370370369928E-3</v>
      </c>
      <c r="C52" s="2">
        <f t="shared" si="0"/>
        <v>7.4333333333332696</v>
      </c>
    </row>
    <row r="53" spans="1:3" x14ac:dyDescent="0.25">
      <c r="A53" s="1" t="s">
        <v>33</v>
      </c>
      <c r="B53" s="1">
        <v>7.7893518518518112E-3</v>
      </c>
      <c r="C53" s="2">
        <f t="shared" si="0"/>
        <v>11.216666666666608</v>
      </c>
    </row>
    <row r="54" spans="1:3" x14ac:dyDescent="0.25">
      <c r="A54" s="1" t="s">
        <v>34</v>
      </c>
      <c r="B54" s="1">
        <v>1.215277777777779E-2</v>
      </c>
      <c r="C54" s="2">
        <f t="shared" si="0"/>
        <v>17.500000000000018</v>
      </c>
    </row>
    <row r="55" spans="1:3" x14ac:dyDescent="0.25">
      <c r="A55" s="1" t="s">
        <v>34</v>
      </c>
      <c r="B55" s="1">
        <v>2.1967592592592622E-2</v>
      </c>
      <c r="C55" s="2">
        <f t="shared" si="0"/>
        <v>31.633333333333375</v>
      </c>
    </row>
    <row r="56" spans="1:3" x14ac:dyDescent="0.25">
      <c r="A56" s="1" t="s">
        <v>34</v>
      </c>
      <c r="B56" s="1">
        <v>7.0138888888889861E-3</v>
      </c>
      <c r="C56" s="2">
        <f t="shared" si="0"/>
        <v>10.10000000000014</v>
      </c>
    </row>
    <row r="57" spans="1:3" x14ac:dyDescent="0.25">
      <c r="A57" s="1" t="s">
        <v>34</v>
      </c>
      <c r="B57" s="1">
        <v>7.2337962962962798E-3</v>
      </c>
      <c r="C57" s="2">
        <f t="shared" si="0"/>
        <v>10.416666666666643</v>
      </c>
    </row>
    <row r="58" spans="1:3" x14ac:dyDescent="0.25">
      <c r="A58" s="1" t="s">
        <v>34</v>
      </c>
      <c r="B58" s="1">
        <v>1.0624999999999996E-2</v>
      </c>
      <c r="C58" s="2">
        <f t="shared" si="0"/>
        <v>15.299999999999994</v>
      </c>
    </row>
    <row r="59" spans="1:3" x14ac:dyDescent="0.25">
      <c r="A59" s="1" t="s">
        <v>34</v>
      </c>
      <c r="B59" s="1">
        <v>5.5555555555555358E-3</v>
      </c>
      <c r="C59" s="2">
        <f t="shared" si="0"/>
        <v>7.9999999999999716</v>
      </c>
    </row>
    <row r="60" spans="1:3" x14ac:dyDescent="0.25">
      <c r="A60" s="1" t="s">
        <v>34</v>
      </c>
      <c r="B60" s="1">
        <v>5.2662037037037868E-3</v>
      </c>
      <c r="C60" s="2">
        <f t="shared" si="0"/>
        <v>7.5833333333334529</v>
      </c>
    </row>
    <row r="61" spans="1:3" x14ac:dyDescent="0.25">
      <c r="A61" s="1" t="s">
        <v>34</v>
      </c>
      <c r="B61" s="1">
        <v>7.0833333333333304E-3</v>
      </c>
      <c r="C61" s="2">
        <f t="shared" si="0"/>
        <v>10.199999999999996</v>
      </c>
    </row>
    <row r="62" spans="1:3" x14ac:dyDescent="0.25">
      <c r="A62" s="1" t="s">
        <v>34</v>
      </c>
      <c r="B62" s="1">
        <v>8.3217592592592649E-3</v>
      </c>
      <c r="C62" s="2">
        <f t="shared" si="0"/>
        <v>11.983333333333341</v>
      </c>
    </row>
    <row r="63" spans="1:3" x14ac:dyDescent="0.25">
      <c r="A63" s="1" t="s">
        <v>34</v>
      </c>
      <c r="B63" s="1">
        <v>7.7662037037037335E-3</v>
      </c>
      <c r="C63" s="2">
        <f t="shared" si="0"/>
        <v>11.183333333333376</v>
      </c>
    </row>
    <row r="64" spans="1:3" x14ac:dyDescent="0.25">
      <c r="A64" s="1" t="s">
        <v>34</v>
      </c>
      <c r="B64" s="1">
        <v>1.489583333333333E-2</v>
      </c>
      <c r="C64" s="2">
        <f t="shared" si="0"/>
        <v>21.449999999999996</v>
      </c>
    </row>
    <row r="65" spans="1:3" x14ac:dyDescent="0.25">
      <c r="A65" s="1" t="s">
        <v>34</v>
      </c>
      <c r="B65" s="1">
        <v>1.0231481481481453E-2</v>
      </c>
      <c r="C65" s="2">
        <f t="shared" si="0"/>
        <v>14.733333333333292</v>
      </c>
    </row>
    <row r="66" spans="1:3" x14ac:dyDescent="0.25">
      <c r="A66" s="1" t="s">
        <v>34</v>
      </c>
      <c r="B66" s="1">
        <v>6.2731481481481666E-3</v>
      </c>
      <c r="C66" s="2">
        <f t="shared" si="0"/>
        <v>9.0333333333333599</v>
      </c>
    </row>
    <row r="67" spans="1:3" x14ac:dyDescent="0.25">
      <c r="A67" s="1" t="s">
        <v>34</v>
      </c>
      <c r="B67" s="1">
        <v>7.4537037037036846E-3</v>
      </c>
      <c r="C67" s="2">
        <f t="shared" ref="C67:C130" si="1">B67*1440</f>
        <v>10.733333333333306</v>
      </c>
    </row>
    <row r="68" spans="1:3" x14ac:dyDescent="0.25">
      <c r="A68" s="1" t="s">
        <v>34</v>
      </c>
      <c r="B68" s="1">
        <v>8.2407407407407707E-3</v>
      </c>
      <c r="C68" s="2">
        <f t="shared" si="1"/>
        <v>11.86666666666671</v>
      </c>
    </row>
    <row r="69" spans="1:3" x14ac:dyDescent="0.25">
      <c r="A69" s="1" t="s">
        <v>34</v>
      </c>
      <c r="B69" s="1">
        <v>7.5578703703703676E-3</v>
      </c>
      <c r="C69" s="2">
        <f t="shared" si="1"/>
        <v>10.883333333333329</v>
      </c>
    </row>
    <row r="70" spans="1:3" x14ac:dyDescent="0.25">
      <c r="A70" s="1" t="s">
        <v>34</v>
      </c>
      <c r="B70" s="1">
        <v>1.0173611111111147E-2</v>
      </c>
      <c r="C70" s="2">
        <f t="shared" si="1"/>
        <v>14.650000000000052</v>
      </c>
    </row>
    <row r="71" spans="1:3" x14ac:dyDescent="0.25">
      <c r="A71" s="1" t="s">
        <v>34</v>
      </c>
      <c r="B71" s="1">
        <v>7.8819444444444553E-3</v>
      </c>
      <c r="C71" s="2">
        <f t="shared" si="1"/>
        <v>11.350000000000016</v>
      </c>
    </row>
    <row r="72" spans="1:3" x14ac:dyDescent="0.25">
      <c r="A72" s="1" t="s">
        <v>34</v>
      </c>
      <c r="B72" s="1">
        <v>8.6342592592592027E-3</v>
      </c>
      <c r="C72" s="2">
        <f t="shared" si="1"/>
        <v>12.433333333333252</v>
      </c>
    </row>
    <row r="73" spans="1:3" x14ac:dyDescent="0.25">
      <c r="A73" s="1" t="s">
        <v>34</v>
      </c>
      <c r="B73" s="1">
        <v>1.0439814814814818E-2</v>
      </c>
      <c r="C73" s="2">
        <f t="shared" si="1"/>
        <v>15.033333333333339</v>
      </c>
    </row>
    <row r="74" spans="1:3" x14ac:dyDescent="0.25">
      <c r="A74" s="1" t="s">
        <v>34</v>
      </c>
      <c r="B74" s="1">
        <v>2.9872685185185155E-2</v>
      </c>
      <c r="C74" s="2">
        <f t="shared" si="1"/>
        <v>43.016666666666623</v>
      </c>
    </row>
    <row r="75" spans="1:3" x14ac:dyDescent="0.25">
      <c r="A75" s="1" t="s">
        <v>34</v>
      </c>
      <c r="B75" s="1">
        <v>7.7430555555555447E-3</v>
      </c>
      <c r="C75" s="2">
        <f t="shared" si="1"/>
        <v>11.149999999999984</v>
      </c>
    </row>
    <row r="76" spans="1:3" x14ac:dyDescent="0.25">
      <c r="A76" s="1" t="s">
        <v>34</v>
      </c>
      <c r="B76" s="1">
        <v>9.7569444444444153E-3</v>
      </c>
      <c r="C76" s="2">
        <f t="shared" si="1"/>
        <v>14.049999999999958</v>
      </c>
    </row>
    <row r="77" spans="1:3" x14ac:dyDescent="0.25">
      <c r="A77" s="1" t="s">
        <v>34</v>
      </c>
      <c r="B77" s="1">
        <v>1.3969907407407445E-2</v>
      </c>
      <c r="C77" s="2">
        <f t="shared" si="1"/>
        <v>20.11666666666672</v>
      </c>
    </row>
    <row r="78" spans="1:3" x14ac:dyDescent="0.25">
      <c r="A78" s="1" t="s">
        <v>34</v>
      </c>
      <c r="B78" s="1">
        <v>1.2766203703703627E-2</v>
      </c>
      <c r="C78" s="2">
        <f t="shared" si="1"/>
        <v>18.383333333333223</v>
      </c>
    </row>
    <row r="79" spans="1:3" x14ac:dyDescent="0.25">
      <c r="A79" s="1" t="s">
        <v>34</v>
      </c>
      <c r="B79" s="1">
        <v>1.0474537037037046E-2</v>
      </c>
      <c r="C79" s="2">
        <f t="shared" si="1"/>
        <v>15.083333333333346</v>
      </c>
    </row>
    <row r="80" spans="1:3" x14ac:dyDescent="0.25">
      <c r="A80" s="1" t="s">
        <v>34</v>
      </c>
      <c r="B80" s="1">
        <v>2.5543981481481515E-2</v>
      </c>
      <c r="C80" s="2">
        <f t="shared" si="1"/>
        <v>36.783333333333381</v>
      </c>
    </row>
    <row r="81" spans="1:3" x14ac:dyDescent="0.25">
      <c r="A81" s="1" t="s">
        <v>34</v>
      </c>
      <c r="B81" s="1">
        <v>8.3680555555555314E-3</v>
      </c>
      <c r="C81" s="2">
        <f t="shared" si="1"/>
        <v>12.049999999999965</v>
      </c>
    </row>
    <row r="82" spans="1:3" x14ac:dyDescent="0.25">
      <c r="A82" s="1" t="s">
        <v>34</v>
      </c>
      <c r="B82" s="1">
        <v>9.201388888888884E-3</v>
      </c>
      <c r="C82" s="2">
        <f t="shared" si="1"/>
        <v>13.249999999999993</v>
      </c>
    </row>
    <row r="83" spans="1:3" x14ac:dyDescent="0.25">
      <c r="A83" s="1" t="s">
        <v>34</v>
      </c>
      <c r="B83" s="1">
        <v>7.9976851851851771E-3</v>
      </c>
      <c r="C83" s="2">
        <f t="shared" si="1"/>
        <v>11.516666666666655</v>
      </c>
    </row>
    <row r="84" spans="1:3" x14ac:dyDescent="0.25">
      <c r="A84" s="1" t="s">
        <v>34</v>
      </c>
      <c r="B84" s="1">
        <v>8.8888888888888351E-3</v>
      </c>
      <c r="C84" s="2">
        <f t="shared" si="1"/>
        <v>12.799999999999923</v>
      </c>
    </row>
    <row r="85" spans="1:3" x14ac:dyDescent="0.25">
      <c r="A85" s="1" t="s">
        <v>34</v>
      </c>
      <c r="B85" s="1">
        <v>1.4826388888888875E-2</v>
      </c>
      <c r="C85" s="2">
        <f t="shared" si="1"/>
        <v>21.34999999999998</v>
      </c>
    </row>
    <row r="86" spans="1:3" x14ac:dyDescent="0.25">
      <c r="A86" s="1" t="s">
        <v>34</v>
      </c>
      <c r="B86" s="1">
        <v>8.8888888888888906E-3</v>
      </c>
      <c r="C86" s="2">
        <f t="shared" si="1"/>
        <v>12.800000000000002</v>
      </c>
    </row>
    <row r="87" spans="1:3" x14ac:dyDescent="0.25">
      <c r="A87" s="1" t="s">
        <v>34</v>
      </c>
      <c r="B87" s="1">
        <v>1.4178240740740811E-2</v>
      </c>
      <c r="C87" s="2">
        <f t="shared" si="1"/>
        <v>20.416666666666767</v>
      </c>
    </row>
    <row r="88" spans="1:3" x14ac:dyDescent="0.25">
      <c r="A88" s="1" t="s">
        <v>34</v>
      </c>
      <c r="B88" s="1">
        <v>1.3576388888888902E-2</v>
      </c>
      <c r="C88" s="2">
        <f t="shared" si="1"/>
        <v>19.550000000000018</v>
      </c>
    </row>
    <row r="89" spans="1:3" x14ac:dyDescent="0.25">
      <c r="A89" s="1" t="s">
        <v>34</v>
      </c>
      <c r="B89" s="1">
        <v>1.1377314814814743E-2</v>
      </c>
      <c r="C89" s="2">
        <f t="shared" si="1"/>
        <v>16.38333333333323</v>
      </c>
    </row>
    <row r="90" spans="1:3" x14ac:dyDescent="0.25">
      <c r="A90" s="1" t="s">
        <v>34</v>
      </c>
      <c r="B90" s="1">
        <v>1.6874999999999973E-2</v>
      </c>
      <c r="C90" s="2">
        <f t="shared" si="1"/>
        <v>24.299999999999962</v>
      </c>
    </row>
    <row r="91" spans="1:3" x14ac:dyDescent="0.25">
      <c r="A91" s="1" t="s">
        <v>34</v>
      </c>
      <c r="B91" s="1">
        <v>6.2152777777777501E-3</v>
      </c>
      <c r="C91" s="2">
        <f t="shared" si="1"/>
        <v>8.9499999999999602</v>
      </c>
    </row>
    <row r="92" spans="1:3" x14ac:dyDescent="0.25">
      <c r="A92" s="1" t="s">
        <v>34</v>
      </c>
      <c r="B92" s="1">
        <v>8.3796296296296813E-3</v>
      </c>
      <c r="C92" s="2">
        <f t="shared" si="1"/>
        <v>12.066666666666741</v>
      </c>
    </row>
    <row r="93" spans="1:3" x14ac:dyDescent="0.25">
      <c r="A93" s="1" t="s">
        <v>34</v>
      </c>
      <c r="B93" s="1">
        <v>1.2418981481481572E-2</v>
      </c>
      <c r="C93" s="2">
        <f t="shared" si="1"/>
        <v>17.883333333333464</v>
      </c>
    </row>
    <row r="94" spans="1:3" x14ac:dyDescent="0.25">
      <c r="A94" s="1" t="s">
        <v>34</v>
      </c>
      <c r="B94" s="1">
        <v>8.9583333333334014E-3</v>
      </c>
      <c r="C94" s="2">
        <f t="shared" si="1"/>
        <v>12.900000000000098</v>
      </c>
    </row>
    <row r="95" spans="1:3" x14ac:dyDescent="0.25">
      <c r="A95" s="1" t="s">
        <v>34</v>
      </c>
      <c r="B95" s="1">
        <v>1.1898148148148158E-2</v>
      </c>
      <c r="C95" s="2">
        <f t="shared" si="1"/>
        <v>17.133333333333347</v>
      </c>
    </row>
    <row r="96" spans="1:3" x14ac:dyDescent="0.25">
      <c r="A96" s="1" t="s">
        <v>34</v>
      </c>
      <c r="B96" s="1">
        <v>1.0324074074074097E-2</v>
      </c>
      <c r="C96" s="2">
        <f t="shared" si="1"/>
        <v>14.866666666666699</v>
      </c>
    </row>
    <row r="97" spans="1:3" x14ac:dyDescent="0.25">
      <c r="A97" s="1" t="s">
        <v>34</v>
      </c>
      <c r="B97" s="1">
        <v>5.8449074074073959E-3</v>
      </c>
      <c r="C97" s="2">
        <f t="shared" si="1"/>
        <v>8.4166666666666501</v>
      </c>
    </row>
    <row r="98" spans="1:3" x14ac:dyDescent="0.25">
      <c r="A98" s="1" t="s">
        <v>34</v>
      </c>
      <c r="B98" s="1">
        <v>1.1145833333333299E-2</v>
      </c>
      <c r="C98" s="2">
        <f t="shared" si="1"/>
        <v>16.049999999999951</v>
      </c>
    </row>
    <row r="99" spans="1:3" x14ac:dyDescent="0.25">
      <c r="A99" s="1" t="s">
        <v>34</v>
      </c>
      <c r="B99" s="1">
        <v>1.0567129629629579E-2</v>
      </c>
      <c r="C99" s="2">
        <f t="shared" si="1"/>
        <v>15.216666666666594</v>
      </c>
    </row>
    <row r="100" spans="1:3" x14ac:dyDescent="0.25">
      <c r="A100" s="1" t="s">
        <v>34</v>
      </c>
      <c r="B100" s="1">
        <v>1.8402777777777768E-2</v>
      </c>
      <c r="C100" s="2">
        <f t="shared" si="1"/>
        <v>26.499999999999986</v>
      </c>
    </row>
    <row r="101" spans="1:3" x14ac:dyDescent="0.25">
      <c r="A101" s="1" t="s">
        <v>34</v>
      </c>
      <c r="B101" s="1">
        <v>1.3460648148148069E-2</v>
      </c>
      <c r="C101" s="2">
        <f t="shared" si="1"/>
        <v>19.383333333333219</v>
      </c>
    </row>
    <row r="102" spans="1:3" x14ac:dyDescent="0.25">
      <c r="A102" s="1" t="s">
        <v>34</v>
      </c>
      <c r="B102" s="1">
        <v>1.5567129629629695E-2</v>
      </c>
      <c r="C102" s="2">
        <f t="shared" si="1"/>
        <v>22.41666666666676</v>
      </c>
    </row>
    <row r="103" spans="1:3" x14ac:dyDescent="0.25">
      <c r="A103" s="1" t="s">
        <v>34</v>
      </c>
      <c r="B103" s="1">
        <v>2.335648148148145E-2</v>
      </c>
      <c r="C103" s="2">
        <f t="shared" si="1"/>
        <v>33.63333333333329</v>
      </c>
    </row>
    <row r="104" spans="1:3" x14ac:dyDescent="0.25">
      <c r="A104" s="1" t="s">
        <v>34</v>
      </c>
      <c r="B104" s="1">
        <v>7.4189814814815125E-3</v>
      </c>
      <c r="C104" s="2">
        <f t="shared" si="1"/>
        <v>10.683333333333378</v>
      </c>
    </row>
    <row r="105" spans="1:3" x14ac:dyDescent="0.25">
      <c r="A105" s="1" t="s">
        <v>34</v>
      </c>
      <c r="B105" s="1">
        <v>8.7384259259259411E-3</v>
      </c>
      <c r="C105" s="2">
        <f t="shared" si="1"/>
        <v>12.583333333333355</v>
      </c>
    </row>
    <row r="106" spans="1:3" x14ac:dyDescent="0.25">
      <c r="A106" s="1" t="s">
        <v>34</v>
      </c>
      <c r="B106" s="1">
        <v>7.0486111111111582E-3</v>
      </c>
      <c r="C106" s="2">
        <f t="shared" si="1"/>
        <v>10.150000000000068</v>
      </c>
    </row>
    <row r="107" spans="1:3" x14ac:dyDescent="0.25">
      <c r="A107" s="1" t="s">
        <v>34</v>
      </c>
      <c r="B107" s="1">
        <v>6.6898148148147873E-3</v>
      </c>
      <c r="C107" s="2">
        <f t="shared" si="1"/>
        <v>9.6333333333332938</v>
      </c>
    </row>
    <row r="108" spans="1:3" x14ac:dyDescent="0.25">
      <c r="A108" s="1" t="s">
        <v>34</v>
      </c>
      <c r="B108" s="1">
        <v>7.4768518518518734E-3</v>
      </c>
      <c r="C108" s="2">
        <f t="shared" si="1"/>
        <v>10.766666666666698</v>
      </c>
    </row>
    <row r="109" spans="1:3" x14ac:dyDescent="0.25">
      <c r="A109" s="1" t="s">
        <v>34</v>
      </c>
      <c r="B109" s="1">
        <v>6.4930555555555713E-3</v>
      </c>
      <c r="C109" s="2">
        <f t="shared" si="1"/>
        <v>9.3500000000000227</v>
      </c>
    </row>
    <row r="110" spans="1:3" x14ac:dyDescent="0.25">
      <c r="A110" s="1" t="s">
        <v>34</v>
      </c>
      <c r="B110" s="1">
        <v>1.4837962962963025E-2</v>
      </c>
      <c r="C110" s="2">
        <f t="shared" si="1"/>
        <v>21.366666666666756</v>
      </c>
    </row>
    <row r="111" spans="1:3" x14ac:dyDescent="0.25">
      <c r="A111" s="1" t="s">
        <v>34</v>
      </c>
      <c r="B111" s="1">
        <v>1.0752314814814756E-2</v>
      </c>
      <c r="C111" s="2">
        <f t="shared" si="1"/>
        <v>15.483333333333249</v>
      </c>
    </row>
    <row r="112" spans="1:3" x14ac:dyDescent="0.25">
      <c r="A112" s="1" t="s">
        <v>34</v>
      </c>
      <c r="B112" s="1">
        <v>5.8796296296297346E-3</v>
      </c>
      <c r="C112" s="2">
        <f t="shared" si="1"/>
        <v>8.4666666666668178</v>
      </c>
    </row>
    <row r="113" spans="1:3" x14ac:dyDescent="0.25">
      <c r="A113" s="1" t="s">
        <v>34</v>
      </c>
      <c r="B113" s="1">
        <v>6.527777777777799E-3</v>
      </c>
      <c r="C113" s="2">
        <f t="shared" si="1"/>
        <v>9.4000000000000306</v>
      </c>
    </row>
    <row r="114" spans="1:3" x14ac:dyDescent="0.25">
      <c r="A114" s="1" t="s">
        <v>34</v>
      </c>
      <c r="B114" s="1">
        <v>8.3564814814814925E-3</v>
      </c>
      <c r="C114" s="2">
        <f t="shared" si="1"/>
        <v>12.033333333333349</v>
      </c>
    </row>
    <row r="115" spans="1:3" x14ac:dyDescent="0.25">
      <c r="A115" s="1" t="s">
        <v>34</v>
      </c>
      <c r="B115" s="1">
        <v>1.1527777777777803E-2</v>
      </c>
      <c r="C115" s="2">
        <f t="shared" si="1"/>
        <v>16.600000000000037</v>
      </c>
    </row>
    <row r="116" spans="1:3" x14ac:dyDescent="0.25">
      <c r="A116" s="1" t="s">
        <v>34</v>
      </c>
      <c r="B116" s="1">
        <v>1.2233796296296284E-2</v>
      </c>
      <c r="C116" s="2">
        <f t="shared" si="1"/>
        <v>17.616666666666649</v>
      </c>
    </row>
    <row r="117" spans="1:3" x14ac:dyDescent="0.25">
      <c r="A117" s="1" t="s">
        <v>34</v>
      </c>
      <c r="B117" s="1">
        <v>1.0081018518518503E-2</v>
      </c>
      <c r="C117" s="2">
        <f t="shared" si="1"/>
        <v>14.516666666666644</v>
      </c>
    </row>
    <row r="118" spans="1:3" x14ac:dyDescent="0.25">
      <c r="A118" s="1" t="s">
        <v>34</v>
      </c>
      <c r="B118" s="1">
        <v>6.5972222222222543E-3</v>
      </c>
      <c r="C118" s="2">
        <f t="shared" si="1"/>
        <v>9.5000000000000462</v>
      </c>
    </row>
    <row r="119" spans="1:3" x14ac:dyDescent="0.25">
      <c r="A119" s="1" t="s">
        <v>34</v>
      </c>
      <c r="B119" s="1">
        <v>7.3379629629629628E-3</v>
      </c>
      <c r="C119" s="2">
        <f t="shared" si="1"/>
        <v>10.566666666666666</v>
      </c>
    </row>
    <row r="120" spans="1:3" x14ac:dyDescent="0.25">
      <c r="A120" s="1" t="s">
        <v>34</v>
      </c>
      <c r="B120" s="1">
        <v>7.5694444444444065E-3</v>
      </c>
      <c r="C120" s="2">
        <f t="shared" si="1"/>
        <v>10.899999999999945</v>
      </c>
    </row>
    <row r="121" spans="1:3" x14ac:dyDescent="0.25">
      <c r="A121" s="1" t="s">
        <v>34</v>
      </c>
      <c r="B121" s="1">
        <v>6.1921296296296169E-3</v>
      </c>
      <c r="C121" s="2">
        <f t="shared" si="1"/>
        <v>8.9166666666666483</v>
      </c>
    </row>
    <row r="122" spans="1:3" x14ac:dyDescent="0.25">
      <c r="A122" s="1" t="s">
        <v>34</v>
      </c>
      <c r="B122" s="1">
        <v>5.9143518518518512E-3</v>
      </c>
      <c r="C122" s="2">
        <f t="shared" si="1"/>
        <v>8.5166666666666657</v>
      </c>
    </row>
    <row r="123" spans="1:3" x14ac:dyDescent="0.25">
      <c r="A123" s="1" t="s">
        <v>34</v>
      </c>
      <c r="B123" s="1">
        <v>7.5925925925925952E-3</v>
      </c>
      <c r="C123" s="2">
        <f t="shared" si="1"/>
        <v>10.933333333333337</v>
      </c>
    </row>
    <row r="124" spans="1:3" x14ac:dyDescent="0.25">
      <c r="A124" s="1" t="s">
        <v>34</v>
      </c>
      <c r="B124" s="1">
        <v>1.2245370370370434E-2</v>
      </c>
      <c r="C124" s="2">
        <f t="shared" si="1"/>
        <v>17.633333333333425</v>
      </c>
    </row>
    <row r="125" spans="1:3" x14ac:dyDescent="0.25">
      <c r="A125" s="1" t="s">
        <v>34</v>
      </c>
      <c r="B125" s="1">
        <v>1.489583333333333E-2</v>
      </c>
      <c r="C125" s="2">
        <f t="shared" si="1"/>
        <v>21.449999999999996</v>
      </c>
    </row>
    <row r="126" spans="1:3" x14ac:dyDescent="0.25">
      <c r="A126" s="1" t="s">
        <v>34</v>
      </c>
      <c r="B126" s="1">
        <v>1.2407407407407423E-2</v>
      </c>
      <c r="C126" s="2">
        <f t="shared" si="1"/>
        <v>17.866666666666688</v>
      </c>
    </row>
    <row r="127" spans="1:3" x14ac:dyDescent="0.25">
      <c r="A127" s="1" t="s">
        <v>34</v>
      </c>
      <c r="B127" s="1">
        <v>5.8101851851851682E-3</v>
      </c>
      <c r="C127" s="2">
        <f t="shared" si="1"/>
        <v>8.3666666666666423</v>
      </c>
    </row>
    <row r="128" spans="1:3" x14ac:dyDescent="0.25">
      <c r="A128" s="1" t="s">
        <v>34</v>
      </c>
      <c r="B128" s="1">
        <v>7.7662037037037335E-3</v>
      </c>
      <c r="C128" s="2">
        <f t="shared" si="1"/>
        <v>11.183333333333376</v>
      </c>
    </row>
    <row r="129" spans="1:3" x14ac:dyDescent="0.25">
      <c r="A129" s="1" t="s">
        <v>34</v>
      </c>
      <c r="B129" s="1">
        <v>2.2905092592592546E-2</v>
      </c>
      <c r="C129" s="2">
        <f t="shared" si="1"/>
        <v>32.983333333333263</v>
      </c>
    </row>
    <row r="130" spans="1:3" x14ac:dyDescent="0.25">
      <c r="A130" s="1" t="s">
        <v>34</v>
      </c>
      <c r="B130" s="1">
        <v>1.5289351851851762E-2</v>
      </c>
      <c r="C130" s="2">
        <f t="shared" si="1"/>
        <v>22.016666666666538</v>
      </c>
    </row>
    <row r="131" spans="1:3" x14ac:dyDescent="0.25">
      <c r="A131" s="1" t="s">
        <v>34</v>
      </c>
      <c r="B131" s="1">
        <v>6.7476851851852038E-3</v>
      </c>
      <c r="C131" s="2">
        <f t="shared" ref="C131:C194" si="2">B131*1440</f>
        <v>9.7166666666666934</v>
      </c>
    </row>
    <row r="132" spans="1:3" x14ac:dyDescent="0.25">
      <c r="A132" s="1" t="s">
        <v>34</v>
      </c>
      <c r="B132" s="1">
        <v>5.6828703703704075E-3</v>
      </c>
      <c r="C132" s="2">
        <f t="shared" si="2"/>
        <v>8.1833333333333869</v>
      </c>
    </row>
    <row r="133" spans="1:3" x14ac:dyDescent="0.25">
      <c r="A133" s="1" t="s">
        <v>34</v>
      </c>
      <c r="B133" s="1">
        <v>1.055555555555554E-2</v>
      </c>
      <c r="C133" s="2">
        <f t="shared" si="2"/>
        <v>15.199999999999978</v>
      </c>
    </row>
    <row r="134" spans="1:3" x14ac:dyDescent="0.25">
      <c r="A134" s="1" t="s">
        <v>34</v>
      </c>
      <c r="B134" s="1">
        <v>8.9120370370370239E-3</v>
      </c>
      <c r="C134" s="2">
        <f t="shared" si="2"/>
        <v>12.833333333333314</v>
      </c>
    </row>
    <row r="135" spans="1:3" x14ac:dyDescent="0.25">
      <c r="A135" s="1" t="s">
        <v>34</v>
      </c>
      <c r="B135" s="1">
        <v>5.8796296296296791E-3</v>
      </c>
      <c r="C135" s="2">
        <f t="shared" si="2"/>
        <v>8.4666666666667378</v>
      </c>
    </row>
    <row r="136" spans="1:3" x14ac:dyDescent="0.25">
      <c r="A136" s="1" t="s">
        <v>34</v>
      </c>
      <c r="B136" s="1">
        <v>5.2893518518518645E-3</v>
      </c>
      <c r="C136" s="2">
        <f t="shared" si="2"/>
        <v>7.6166666666666849</v>
      </c>
    </row>
    <row r="137" spans="1:3" x14ac:dyDescent="0.25">
      <c r="A137" s="1" t="s">
        <v>34</v>
      </c>
      <c r="B137" s="1">
        <v>7.1527777777777857E-3</v>
      </c>
      <c r="C137" s="2">
        <f t="shared" si="2"/>
        <v>10.300000000000011</v>
      </c>
    </row>
    <row r="138" spans="1:3" x14ac:dyDescent="0.25">
      <c r="A138" s="1" t="s">
        <v>34</v>
      </c>
      <c r="B138" s="1">
        <v>6.3657407407407551E-3</v>
      </c>
      <c r="C138" s="2">
        <f t="shared" si="2"/>
        <v>9.1666666666666874</v>
      </c>
    </row>
    <row r="139" spans="1:3" x14ac:dyDescent="0.25">
      <c r="A139" s="1" t="s">
        <v>34</v>
      </c>
      <c r="B139" s="1">
        <v>8.7500000000000355E-3</v>
      </c>
      <c r="C139" s="2">
        <f t="shared" si="2"/>
        <v>12.600000000000051</v>
      </c>
    </row>
    <row r="140" spans="1:3" x14ac:dyDescent="0.25">
      <c r="A140" s="1" t="s">
        <v>34</v>
      </c>
      <c r="B140" s="1">
        <v>2.1435185185185168E-2</v>
      </c>
      <c r="C140" s="2">
        <f t="shared" si="2"/>
        <v>30.866666666666642</v>
      </c>
    </row>
    <row r="141" spans="1:3" x14ac:dyDescent="0.25">
      <c r="A141" s="1" t="s">
        <v>34</v>
      </c>
      <c r="B141" s="1">
        <v>1.3483796296296258E-2</v>
      </c>
      <c r="C141" s="2">
        <f t="shared" si="2"/>
        <v>19.416666666666611</v>
      </c>
    </row>
    <row r="142" spans="1:3" x14ac:dyDescent="0.25">
      <c r="A142" s="1" t="s">
        <v>34</v>
      </c>
      <c r="B142" s="1">
        <v>1.4826388888888875E-2</v>
      </c>
      <c r="C142" s="2">
        <f t="shared" si="2"/>
        <v>21.34999999999998</v>
      </c>
    </row>
    <row r="143" spans="1:3" x14ac:dyDescent="0.25">
      <c r="A143" s="1" t="s">
        <v>34</v>
      </c>
      <c r="B143" s="1">
        <v>2.9328703703703718E-2</v>
      </c>
      <c r="C143" s="2">
        <f t="shared" si="2"/>
        <v>42.233333333333356</v>
      </c>
    </row>
    <row r="144" spans="1:3" x14ac:dyDescent="0.25">
      <c r="A144" s="1" t="s">
        <v>34</v>
      </c>
      <c r="B144" s="1">
        <v>1.5023148148148091E-2</v>
      </c>
      <c r="C144" s="2">
        <f t="shared" si="2"/>
        <v>21.633333333333251</v>
      </c>
    </row>
    <row r="145" spans="1:3" x14ac:dyDescent="0.25">
      <c r="A145" s="1" t="s">
        <v>34</v>
      </c>
      <c r="B145" s="1">
        <v>8.4953703703702921E-3</v>
      </c>
      <c r="C145" s="2">
        <f t="shared" si="2"/>
        <v>12.233333333333221</v>
      </c>
    </row>
    <row r="146" spans="1:3" x14ac:dyDescent="0.25">
      <c r="A146" s="1" t="s">
        <v>34</v>
      </c>
      <c r="B146" s="1">
        <v>4.6990740740741055E-3</v>
      </c>
      <c r="C146" s="2">
        <f t="shared" si="2"/>
        <v>6.7666666666667119</v>
      </c>
    </row>
    <row r="147" spans="1:3" x14ac:dyDescent="0.25">
      <c r="A147" s="1" t="s">
        <v>34</v>
      </c>
      <c r="B147" s="1">
        <v>4.6412037037036891E-3</v>
      </c>
      <c r="C147" s="2">
        <f t="shared" si="2"/>
        <v>6.6833333333333123</v>
      </c>
    </row>
    <row r="148" spans="1:3" x14ac:dyDescent="0.25">
      <c r="A148" s="1" t="s">
        <v>34</v>
      </c>
      <c r="B148" s="1">
        <v>5.1620370370371038E-3</v>
      </c>
      <c r="C148" s="2">
        <f t="shared" si="2"/>
        <v>7.4333333333334295</v>
      </c>
    </row>
    <row r="149" spans="1:3" x14ac:dyDescent="0.25">
      <c r="A149" s="1" t="s">
        <v>34</v>
      </c>
      <c r="B149" s="1">
        <v>3.5532407407407041E-3</v>
      </c>
      <c r="C149" s="2">
        <f t="shared" si="2"/>
        <v>5.1166666666666138</v>
      </c>
    </row>
    <row r="150" spans="1:3" x14ac:dyDescent="0.25">
      <c r="A150" s="1" t="s">
        <v>34</v>
      </c>
      <c r="B150" s="1">
        <v>1.0995370370370461E-2</v>
      </c>
      <c r="C150" s="2">
        <f t="shared" si="2"/>
        <v>15.833333333333464</v>
      </c>
    </row>
    <row r="151" spans="1:3" x14ac:dyDescent="0.25">
      <c r="A151" s="1" t="s">
        <v>34</v>
      </c>
      <c r="B151" s="1">
        <v>7.2800925925926574E-3</v>
      </c>
      <c r="C151" s="2">
        <f t="shared" si="2"/>
        <v>10.483333333333427</v>
      </c>
    </row>
    <row r="152" spans="1:3" x14ac:dyDescent="0.25">
      <c r="A152" s="1" t="s">
        <v>34</v>
      </c>
      <c r="B152" s="1">
        <v>9.0740740740740122E-3</v>
      </c>
      <c r="C152" s="2">
        <f t="shared" si="2"/>
        <v>13.066666666666578</v>
      </c>
    </row>
    <row r="153" spans="1:3" x14ac:dyDescent="0.25">
      <c r="A153" s="1" t="s">
        <v>34</v>
      </c>
      <c r="B153" s="1">
        <v>9.3981481481481E-3</v>
      </c>
      <c r="C153" s="2">
        <f t="shared" si="2"/>
        <v>13.533333333333264</v>
      </c>
    </row>
    <row r="154" spans="1:3" x14ac:dyDescent="0.25">
      <c r="A154" s="1" t="s">
        <v>34</v>
      </c>
      <c r="B154" s="1">
        <v>7.8240740740741499E-3</v>
      </c>
      <c r="C154" s="2">
        <f t="shared" si="2"/>
        <v>11.266666666666776</v>
      </c>
    </row>
    <row r="155" spans="1:3" x14ac:dyDescent="0.25">
      <c r="A155" s="1" t="s">
        <v>34</v>
      </c>
      <c r="B155" s="1">
        <v>7.2916666666666963E-3</v>
      </c>
      <c r="C155" s="2">
        <f t="shared" si="2"/>
        <v>10.500000000000043</v>
      </c>
    </row>
    <row r="156" spans="1:3" x14ac:dyDescent="0.25">
      <c r="A156" s="1" t="s">
        <v>34</v>
      </c>
      <c r="B156" s="1">
        <v>7.4768518518518734E-3</v>
      </c>
      <c r="C156" s="2">
        <f t="shared" si="2"/>
        <v>10.766666666666698</v>
      </c>
    </row>
    <row r="157" spans="1:3" x14ac:dyDescent="0.25">
      <c r="A157" s="1" t="s">
        <v>34</v>
      </c>
      <c r="B157" s="1">
        <v>1.2407407407407423E-2</v>
      </c>
      <c r="C157" s="2">
        <f t="shared" si="2"/>
        <v>17.866666666666688</v>
      </c>
    </row>
    <row r="158" spans="1:3" x14ac:dyDescent="0.25">
      <c r="A158" s="1" t="s">
        <v>34</v>
      </c>
      <c r="B158" s="1">
        <v>8.9467592592592515E-3</v>
      </c>
      <c r="C158" s="2">
        <f t="shared" si="2"/>
        <v>12.883333333333322</v>
      </c>
    </row>
    <row r="159" spans="1:3" x14ac:dyDescent="0.25">
      <c r="A159" s="1" t="s">
        <v>34</v>
      </c>
      <c r="B159" s="1">
        <v>9.6990740740741099E-3</v>
      </c>
      <c r="C159" s="2">
        <f t="shared" si="2"/>
        <v>13.966666666666718</v>
      </c>
    </row>
    <row r="160" spans="1:3" x14ac:dyDescent="0.25">
      <c r="A160" s="1" t="s">
        <v>34</v>
      </c>
      <c r="B160" s="1">
        <v>5.1736111111110872E-3</v>
      </c>
      <c r="C160" s="2">
        <f t="shared" si="2"/>
        <v>7.4499999999999655</v>
      </c>
    </row>
    <row r="161" spans="1:3" x14ac:dyDescent="0.25">
      <c r="A161" s="1" t="s">
        <v>34</v>
      </c>
      <c r="B161" s="1">
        <v>5.8680555555555847E-3</v>
      </c>
      <c r="C161" s="2">
        <f t="shared" si="2"/>
        <v>8.4500000000000419</v>
      </c>
    </row>
    <row r="162" spans="1:3" x14ac:dyDescent="0.25">
      <c r="A162" s="1" t="s">
        <v>34</v>
      </c>
      <c r="B162" s="1">
        <v>5.335648148148131E-3</v>
      </c>
      <c r="C162" s="2">
        <f t="shared" si="2"/>
        <v>7.6833333333333087</v>
      </c>
    </row>
    <row r="163" spans="1:3" x14ac:dyDescent="0.25">
      <c r="A163" s="1" t="s">
        <v>34</v>
      </c>
      <c r="B163" s="1">
        <v>2.9791666666666661E-2</v>
      </c>
      <c r="C163" s="2">
        <f t="shared" si="2"/>
        <v>42.899999999999991</v>
      </c>
    </row>
    <row r="164" spans="1:3" x14ac:dyDescent="0.25">
      <c r="A164" s="1" t="s">
        <v>34</v>
      </c>
      <c r="B164" s="1">
        <v>1.1817129629629664E-2</v>
      </c>
      <c r="C164" s="2">
        <f t="shared" si="2"/>
        <v>17.016666666666715</v>
      </c>
    </row>
    <row r="165" spans="1:3" x14ac:dyDescent="0.25">
      <c r="A165" s="1" t="s">
        <v>34</v>
      </c>
      <c r="B165" s="1">
        <v>1.6087962962962998E-2</v>
      </c>
      <c r="C165" s="2">
        <f t="shared" si="2"/>
        <v>23.166666666666718</v>
      </c>
    </row>
    <row r="166" spans="1:3" x14ac:dyDescent="0.25">
      <c r="A166" s="1" t="s">
        <v>34</v>
      </c>
      <c r="B166" s="1">
        <v>1.0138888888888808E-2</v>
      </c>
      <c r="C166" s="2">
        <f t="shared" si="2"/>
        <v>14.599999999999884</v>
      </c>
    </row>
    <row r="167" spans="1:3" x14ac:dyDescent="0.25">
      <c r="A167" s="1" t="s">
        <v>34</v>
      </c>
      <c r="B167" s="1">
        <v>1.5208333333333379E-2</v>
      </c>
      <c r="C167" s="2">
        <f t="shared" si="2"/>
        <v>21.900000000000066</v>
      </c>
    </row>
    <row r="168" spans="1:3" x14ac:dyDescent="0.25">
      <c r="A168" s="1" t="s">
        <v>34</v>
      </c>
      <c r="B168" s="1">
        <v>1.3090277777777826E-2</v>
      </c>
      <c r="C168" s="2">
        <f t="shared" si="2"/>
        <v>18.850000000000069</v>
      </c>
    </row>
    <row r="169" spans="1:3" x14ac:dyDescent="0.25">
      <c r="A169" s="1" t="s">
        <v>34</v>
      </c>
      <c r="B169" s="1">
        <v>1.1747685185185208E-2</v>
      </c>
      <c r="C169" s="2">
        <f t="shared" si="2"/>
        <v>16.9166666666667</v>
      </c>
    </row>
    <row r="170" spans="1:3" x14ac:dyDescent="0.25">
      <c r="A170" s="1" t="s">
        <v>34</v>
      </c>
      <c r="B170" s="1">
        <v>1.1122685185185222E-2</v>
      </c>
      <c r="C170" s="2">
        <f t="shared" si="2"/>
        <v>16.016666666666719</v>
      </c>
    </row>
    <row r="171" spans="1:3" x14ac:dyDescent="0.25">
      <c r="A171" s="1" t="s">
        <v>34</v>
      </c>
      <c r="B171" s="1">
        <v>8.3680555555555314E-3</v>
      </c>
      <c r="C171" s="2">
        <f t="shared" si="2"/>
        <v>12.049999999999965</v>
      </c>
    </row>
    <row r="172" spans="1:3" x14ac:dyDescent="0.25">
      <c r="A172" s="1" t="s">
        <v>36</v>
      </c>
      <c r="B172" s="1">
        <v>1.6608796296296302E-2</v>
      </c>
      <c r="C172" s="2">
        <f t="shared" si="2"/>
        <v>23.916666666666675</v>
      </c>
    </row>
    <row r="173" spans="1:3" x14ac:dyDescent="0.25">
      <c r="A173" s="1" t="s">
        <v>36</v>
      </c>
      <c r="B173" s="1">
        <v>3.1574074074074088E-2</v>
      </c>
      <c r="C173" s="2">
        <f t="shared" si="2"/>
        <v>45.466666666666683</v>
      </c>
    </row>
    <row r="174" spans="1:3" x14ac:dyDescent="0.25">
      <c r="A174" s="1" t="s">
        <v>36</v>
      </c>
      <c r="B174" s="1">
        <v>1.1354166666666665E-2</v>
      </c>
      <c r="C174" s="2">
        <f t="shared" si="2"/>
        <v>16.349999999999998</v>
      </c>
    </row>
    <row r="175" spans="1:3" x14ac:dyDescent="0.25">
      <c r="A175" s="1" t="s">
        <v>36</v>
      </c>
      <c r="B175" s="1">
        <v>1.9560185185185208E-2</v>
      </c>
      <c r="C175" s="2">
        <f t="shared" si="2"/>
        <v>28.1666666666667</v>
      </c>
    </row>
    <row r="176" spans="1:3" x14ac:dyDescent="0.25">
      <c r="A176" s="1" t="s">
        <v>36</v>
      </c>
      <c r="B176" s="1">
        <v>1.1400462962963043E-2</v>
      </c>
      <c r="C176" s="2">
        <f t="shared" si="2"/>
        <v>16.416666666666782</v>
      </c>
    </row>
    <row r="177" spans="1:3" x14ac:dyDescent="0.25">
      <c r="A177" s="1" t="s">
        <v>36</v>
      </c>
      <c r="B177" s="1">
        <v>1.0451388888888857E-2</v>
      </c>
      <c r="C177" s="2">
        <f t="shared" si="2"/>
        <v>15.049999999999955</v>
      </c>
    </row>
    <row r="178" spans="1:3" x14ac:dyDescent="0.25">
      <c r="A178" s="1" t="s">
        <v>36</v>
      </c>
      <c r="B178" s="1">
        <v>2.0798611111111032E-2</v>
      </c>
      <c r="C178" s="2">
        <f t="shared" si="2"/>
        <v>29.949999999999886</v>
      </c>
    </row>
    <row r="179" spans="1:3" x14ac:dyDescent="0.25">
      <c r="A179" s="1" t="s">
        <v>36</v>
      </c>
      <c r="B179" s="1">
        <v>8.1828703703703543E-3</v>
      </c>
      <c r="C179" s="2">
        <f t="shared" si="2"/>
        <v>11.78333333333331</v>
      </c>
    </row>
    <row r="180" spans="1:3" x14ac:dyDescent="0.25">
      <c r="A180" s="1" t="s">
        <v>36</v>
      </c>
      <c r="B180" s="1">
        <v>1.271990740740736E-2</v>
      </c>
      <c r="C180" s="2">
        <f t="shared" si="2"/>
        <v>18.316666666666599</v>
      </c>
    </row>
    <row r="181" spans="1:3" x14ac:dyDescent="0.25">
      <c r="A181" s="1" t="s">
        <v>36</v>
      </c>
      <c r="B181" s="1">
        <v>6.4930555555554603E-3</v>
      </c>
      <c r="C181" s="2">
        <f t="shared" si="2"/>
        <v>9.3499999999998629</v>
      </c>
    </row>
    <row r="182" spans="1:3" x14ac:dyDescent="0.25">
      <c r="A182" s="1" t="s">
        <v>36</v>
      </c>
      <c r="B182" s="1">
        <v>1.3599537037036979E-2</v>
      </c>
      <c r="C182" s="2">
        <f t="shared" si="2"/>
        <v>19.58333333333325</v>
      </c>
    </row>
    <row r="183" spans="1:3" x14ac:dyDescent="0.25">
      <c r="A183" s="1" t="s">
        <v>36</v>
      </c>
      <c r="B183" s="1">
        <v>8.0324074074074048E-3</v>
      </c>
      <c r="C183" s="2">
        <f t="shared" si="2"/>
        <v>11.566666666666663</v>
      </c>
    </row>
    <row r="184" spans="1:3" x14ac:dyDescent="0.25">
      <c r="A184" s="1" t="s">
        <v>36</v>
      </c>
      <c r="B184" s="1">
        <v>7.8356481481481888E-3</v>
      </c>
      <c r="C184" s="2">
        <f t="shared" si="2"/>
        <v>11.283333333333392</v>
      </c>
    </row>
    <row r="185" spans="1:3" x14ac:dyDescent="0.25">
      <c r="A185" s="1" t="s">
        <v>36</v>
      </c>
      <c r="B185" s="1">
        <v>2.1736111111111178E-2</v>
      </c>
      <c r="C185" s="2">
        <f t="shared" si="2"/>
        <v>31.300000000000097</v>
      </c>
    </row>
    <row r="186" spans="1:3" x14ac:dyDescent="0.25">
      <c r="A186" s="1" t="s">
        <v>36</v>
      </c>
      <c r="B186" s="1">
        <v>2.19907407407407E-2</v>
      </c>
      <c r="C186" s="2">
        <f t="shared" si="2"/>
        <v>31.666666666666607</v>
      </c>
    </row>
    <row r="187" spans="1:3" x14ac:dyDescent="0.25">
      <c r="A187" s="1" t="s">
        <v>36</v>
      </c>
      <c r="B187" s="1">
        <v>7.3842592592592293E-3</v>
      </c>
      <c r="C187" s="2">
        <f t="shared" si="2"/>
        <v>10.63333333333329</v>
      </c>
    </row>
    <row r="188" spans="1:3" x14ac:dyDescent="0.25">
      <c r="A188" s="1" t="s">
        <v>36</v>
      </c>
      <c r="B188" s="1">
        <v>1.055555555555554E-2</v>
      </c>
      <c r="C188" s="2">
        <f t="shared" si="2"/>
        <v>15.199999999999978</v>
      </c>
    </row>
    <row r="189" spans="1:3" x14ac:dyDescent="0.25">
      <c r="A189" s="1" t="s">
        <v>36</v>
      </c>
      <c r="B189" s="1">
        <v>1.3333333333333308E-2</v>
      </c>
      <c r="C189" s="2">
        <f t="shared" si="2"/>
        <v>19.199999999999964</v>
      </c>
    </row>
    <row r="190" spans="1:3" x14ac:dyDescent="0.25">
      <c r="A190" s="1" t="s">
        <v>36</v>
      </c>
      <c r="B190" s="1">
        <v>1.7743055555555554E-2</v>
      </c>
      <c r="C190" s="2">
        <f t="shared" si="2"/>
        <v>25.549999999999997</v>
      </c>
    </row>
    <row r="191" spans="1:3" x14ac:dyDescent="0.25">
      <c r="A191" s="1" t="s">
        <v>36</v>
      </c>
      <c r="B191" s="1">
        <v>7.9513888888889106E-3</v>
      </c>
      <c r="C191" s="2">
        <f t="shared" si="2"/>
        <v>11.450000000000031</v>
      </c>
    </row>
    <row r="192" spans="1:3" x14ac:dyDescent="0.25">
      <c r="A192" s="1" t="s">
        <v>36</v>
      </c>
      <c r="B192" s="1">
        <v>1.5717592592592589E-2</v>
      </c>
      <c r="C192" s="2">
        <f t="shared" si="2"/>
        <v>22.633333333333326</v>
      </c>
    </row>
    <row r="193" spans="1:3" x14ac:dyDescent="0.25">
      <c r="A193" s="1" t="s">
        <v>36</v>
      </c>
      <c r="B193" s="1">
        <v>1.9930555555555562E-2</v>
      </c>
      <c r="C193" s="2">
        <f t="shared" si="2"/>
        <v>28.70000000000001</v>
      </c>
    </row>
    <row r="194" spans="1:3" x14ac:dyDescent="0.25">
      <c r="A194" s="1" t="s">
        <v>36</v>
      </c>
      <c r="B194" s="1">
        <v>5.9837962962963065E-3</v>
      </c>
      <c r="C194" s="2">
        <f t="shared" si="2"/>
        <v>8.6166666666666814</v>
      </c>
    </row>
    <row r="195" spans="1:3" x14ac:dyDescent="0.25">
      <c r="A195" s="1" t="s">
        <v>36</v>
      </c>
      <c r="B195" s="1">
        <v>9.2592592592593004E-3</v>
      </c>
      <c r="C195" s="2">
        <f t="shared" ref="C195:C206" si="3">B195*1440</f>
        <v>13.333333333333393</v>
      </c>
    </row>
    <row r="196" spans="1:3" x14ac:dyDescent="0.25">
      <c r="A196" s="1" t="s">
        <v>36</v>
      </c>
      <c r="B196" s="1">
        <v>1.0682870370370301E-2</v>
      </c>
      <c r="C196" s="2">
        <f t="shared" si="3"/>
        <v>15.383333333333233</v>
      </c>
    </row>
    <row r="197" spans="1:3" x14ac:dyDescent="0.25">
      <c r="A197" s="1" t="s">
        <v>36</v>
      </c>
      <c r="B197" s="1">
        <v>1.2928240740740726E-2</v>
      </c>
      <c r="C197" s="2">
        <f t="shared" si="3"/>
        <v>18.616666666666646</v>
      </c>
    </row>
    <row r="198" spans="1:3" x14ac:dyDescent="0.25">
      <c r="A198" s="1" t="s">
        <v>36</v>
      </c>
      <c r="B198" s="1">
        <v>2.4212962962962936E-2</v>
      </c>
      <c r="C198" s="2">
        <f t="shared" si="3"/>
        <v>34.866666666666632</v>
      </c>
    </row>
    <row r="199" spans="1:3" x14ac:dyDescent="0.25">
      <c r="A199" s="1" t="s">
        <v>36</v>
      </c>
      <c r="B199" s="1">
        <v>6.5740740740740655E-3</v>
      </c>
      <c r="C199" s="2">
        <f t="shared" si="3"/>
        <v>9.4666666666666544</v>
      </c>
    </row>
    <row r="200" spans="1:3" x14ac:dyDescent="0.25">
      <c r="A200" s="1" t="s">
        <v>36</v>
      </c>
      <c r="B200" s="1">
        <v>8.6226851851851638E-3</v>
      </c>
      <c r="C200" s="2">
        <f t="shared" si="3"/>
        <v>12.416666666666636</v>
      </c>
    </row>
    <row r="201" spans="1:3" x14ac:dyDescent="0.25">
      <c r="A201" s="1" t="s">
        <v>36</v>
      </c>
      <c r="B201" s="1">
        <v>8.6921296296296191E-3</v>
      </c>
      <c r="C201" s="2">
        <f t="shared" si="3"/>
        <v>12.516666666666652</v>
      </c>
    </row>
    <row r="202" spans="1:3" x14ac:dyDescent="0.25">
      <c r="A202" s="1" t="s">
        <v>36</v>
      </c>
      <c r="B202" s="1">
        <v>1.5034722222222241E-2</v>
      </c>
      <c r="C202" s="2">
        <f t="shared" si="3"/>
        <v>21.650000000000027</v>
      </c>
    </row>
    <row r="203" spans="1:3" x14ac:dyDescent="0.25">
      <c r="A203" s="1" t="s">
        <v>36</v>
      </c>
      <c r="B203" s="1">
        <v>1.4363425925925877E-2</v>
      </c>
      <c r="C203" s="2">
        <f t="shared" si="3"/>
        <v>20.683333333333263</v>
      </c>
    </row>
    <row r="204" spans="1:3" x14ac:dyDescent="0.25">
      <c r="A204" s="1" t="s">
        <v>36</v>
      </c>
      <c r="B204" s="1">
        <v>9.6180555555555047E-3</v>
      </c>
      <c r="C204" s="2">
        <f t="shared" si="3"/>
        <v>13.849999999999927</v>
      </c>
    </row>
    <row r="205" spans="1:3" x14ac:dyDescent="0.25">
      <c r="A205" s="1" t="s">
        <v>36</v>
      </c>
      <c r="B205" s="1">
        <v>7.4074074074074181E-3</v>
      </c>
      <c r="C205" s="2">
        <f t="shared" si="3"/>
        <v>10.666666666666682</v>
      </c>
    </row>
    <row r="206" spans="1:3" x14ac:dyDescent="0.25">
      <c r="A206" s="1" t="s">
        <v>36</v>
      </c>
      <c r="B206" s="1">
        <v>9.1666666666666563E-3</v>
      </c>
      <c r="C206" s="2">
        <f t="shared" si="3"/>
        <v>13.199999999999985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9C2B-75DE-4A3D-A0CA-462297E0D2AF}">
  <dimension ref="A1:D206"/>
  <sheetViews>
    <sheetView workbookViewId="0">
      <selection activeCell="D1" sqref="D1"/>
    </sheetView>
  </sheetViews>
  <sheetFormatPr defaultRowHeight="15" x14ac:dyDescent="0.25"/>
  <cols>
    <col min="2" max="2" width="18.42578125" customWidth="1"/>
  </cols>
  <sheetData>
    <row r="1" spans="1:4" x14ac:dyDescent="0.25">
      <c r="A1" s="1" t="s">
        <v>45</v>
      </c>
      <c r="B1" s="1" t="s">
        <v>543</v>
      </c>
      <c r="D1" t="s">
        <v>714</v>
      </c>
    </row>
    <row r="2" spans="1:4" x14ac:dyDescent="0.25">
      <c r="A2" s="1" t="s">
        <v>33</v>
      </c>
      <c r="B2" s="1">
        <v>1.0115740740740731E-2</v>
      </c>
      <c r="D2" s="2">
        <f>B2*1440</f>
        <v>14.566666666666652</v>
      </c>
    </row>
    <row r="3" spans="1:4" x14ac:dyDescent="0.25">
      <c r="A3" s="1" t="s">
        <v>33</v>
      </c>
      <c r="B3" s="1">
        <v>1.2928240740740726E-2</v>
      </c>
      <c r="D3" s="2">
        <f t="shared" ref="D3:D66" si="0">B3*1440</f>
        <v>18.616666666666646</v>
      </c>
    </row>
    <row r="4" spans="1:4" x14ac:dyDescent="0.25">
      <c r="A4" s="1" t="s">
        <v>33</v>
      </c>
      <c r="B4" s="1">
        <v>3.1296296296296267E-2</v>
      </c>
      <c r="D4" s="2">
        <f t="shared" si="0"/>
        <v>45.06666666666662</v>
      </c>
    </row>
    <row r="5" spans="1:4" x14ac:dyDescent="0.25">
      <c r="A5" s="1" t="s">
        <v>33</v>
      </c>
      <c r="B5" s="1">
        <v>1.7280092592592555E-2</v>
      </c>
      <c r="D5" s="2">
        <f t="shared" si="0"/>
        <v>24.88333333333328</v>
      </c>
    </row>
    <row r="6" spans="1:4" x14ac:dyDescent="0.25">
      <c r="A6" s="1" t="s">
        <v>33</v>
      </c>
      <c r="B6" s="1">
        <v>1.2418981481481572E-2</v>
      </c>
      <c r="D6" s="2">
        <f t="shared" si="0"/>
        <v>17.883333333333464</v>
      </c>
    </row>
    <row r="7" spans="1:4" x14ac:dyDescent="0.25">
      <c r="A7" s="1" t="s">
        <v>33</v>
      </c>
      <c r="B7" s="1">
        <v>1.5833333333333366E-2</v>
      </c>
      <c r="D7" s="2">
        <f t="shared" si="0"/>
        <v>22.800000000000047</v>
      </c>
    </row>
    <row r="8" spans="1:4" x14ac:dyDescent="0.25">
      <c r="A8" s="1" t="s">
        <v>33</v>
      </c>
      <c r="B8" s="1">
        <v>9.8379629629630205E-3</v>
      </c>
      <c r="D8" s="2">
        <f t="shared" si="0"/>
        <v>14.16666666666675</v>
      </c>
    </row>
    <row r="9" spans="1:4" x14ac:dyDescent="0.25">
      <c r="A9" s="1" t="s">
        <v>33</v>
      </c>
      <c r="B9" s="1">
        <v>2.0972222222222281E-2</v>
      </c>
      <c r="D9" s="2">
        <f t="shared" si="0"/>
        <v>30.200000000000085</v>
      </c>
    </row>
    <row r="10" spans="1:4" x14ac:dyDescent="0.25">
      <c r="A10" s="1" t="s">
        <v>33</v>
      </c>
      <c r="B10" s="1">
        <v>2.2361111111111054E-2</v>
      </c>
      <c r="D10" s="2">
        <f t="shared" si="0"/>
        <v>32.199999999999918</v>
      </c>
    </row>
    <row r="11" spans="1:4" x14ac:dyDescent="0.25">
      <c r="A11" s="1" t="s">
        <v>33</v>
      </c>
      <c r="B11" s="1">
        <v>1.8136574074074097E-2</v>
      </c>
      <c r="D11" s="2">
        <f t="shared" si="0"/>
        <v>26.116666666666699</v>
      </c>
    </row>
    <row r="12" spans="1:4" x14ac:dyDescent="0.25">
      <c r="A12" s="1" t="s">
        <v>33</v>
      </c>
      <c r="B12" s="1">
        <v>1.402777777777775E-2</v>
      </c>
      <c r="D12" s="2">
        <f t="shared" si="0"/>
        <v>20.19999999999996</v>
      </c>
    </row>
    <row r="13" spans="1:4" x14ac:dyDescent="0.25">
      <c r="A13" s="1" t="s">
        <v>33</v>
      </c>
      <c r="B13" s="1">
        <v>1.3483796296296369E-2</v>
      </c>
      <c r="D13" s="2">
        <f t="shared" si="0"/>
        <v>19.416666666666771</v>
      </c>
    </row>
    <row r="14" spans="1:4" x14ac:dyDescent="0.25">
      <c r="A14" s="1" t="s">
        <v>33</v>
      </c>
      <c r="B14" s="1">
        <v>1.5451388888888862E-2</v>
      </c>
      <c r="D14" s="2">
        <f t="shared" si="0"/>
        <v>22.249999999999961</v>
      </c>
    </row>
    <row r="15" spans="1:4" x14ac:dyDescent="0.25">
      <c r="A15" s="1" t="s">
        <v>33</v>
      </c>
      <c r="B15" s="1">
        <v>9.6875000000000711E-3</v>
      </c>
      <c r="D15" s="2">
        <f t="shared" si="0"/>
        <v>13.950000000000102</v>
      </c>
    </row>
    <row r="16" spans="1:4" x14ac:dyDescent="0.25">
      <c r="A16" s="1" t="s">
        <v>33</v>
      </c>
      <c r="B16" s="1">
        <v>2.4270833333333353E-2</v>
      </c>
      <c r="D16" s="2">
        <f t="shared" si="0"/>
        <v>34.950000000000031</v>
      </c>
    </row>
    <row r="17" spans="1:4" x14ac:dyDescent="0.25">
      <c r="A17" s="1" t="s">
        <v>33</v>
      </c>
      <c r="B17" s="1">
        <v>4.0266203703703707E-2</v>
      </c>
      <c r="D17" s="2">
        <f t="shared" si="0"/>
        <v>57.983333333333334</v>
      </c>
    </row>
    <row r="18" spans="1:4" x14ac:dyDescent="0.25">
      <c r="A18" s="1" t="s">
        <v>33</v>
      </c>
      <c r="B18" s="1">
        <v>1.9155092592592626E-2</v>
      </c>
      <c r="D18" s="2">
        <f t="shared" si="0"/>
        <v>27.583333333333382</v>
      </c>
    </row>
    <row r="19" spans="1:4" x14ac:dyDescent="0.25">
      <c r="A19" s="1" t="s">
        <v>33</v>
      </c>
      <c r="B19" s="1">
        <v>1.3946759259259256E-2</v>
      </c>
      <c r="D19" s="2">
        <f t="shared" si="0"/>
        <v>20.083333333333329</v>
      </c>
    </row>
    <row r="20" spans="1:4" x14ac:dyDescent="0.25">
      <c r="A20" s="1" t="s">
        <v>33</v>
      </c>
      <c r="B20" s="1">
        <v>1.4583333333333393E-2</v>
      </c>
      <c r="D20" s="2">
        <f t="shared" si="0"/>
        <v>21.000000000000085</v>
      </c>
    </row>
    <row r="21" spans="1:4" x14ac:dyDescent="0.25">
      <c r="A21" s="1" t="s">
        <v>33</v>
      </c>
      <c r="B21" s="1">
        <v>1.3761574074074079E-2</v>
      </c>
      <c r="D21" s="2">
        <f t="shared" si="0"/>
        <v>19.816666666666674</v>
      </c>
    </row>
    <row r="22" spans="1:4" x14ac:dyDescent="0.25">
      <c r="A22" s="1" t="s">
        <v>33</v>
      </c>
      <c r="B22" s="1">
        <v>1.0104166666666692E-2</v>
      </c>
      <c r="D22" s="2">
        <f t="shared" si="0"/>
        <v>14.550000000000036</v>
      </c>
    </row>
    <row r="23" spans="1:4" x14ac:dyDescent="0.25">
      <c r="A23" s="1" t="s">
        <v>33</v>
      </c>
      <c r="B23" s="1">
        <v>1.2916666666666687E-2</v>
      </c>
      <c r="D23" s="2">
        <f t="shared" si="0"/>
        <v>18.60000000000003</v>
      </c>
    </row>
    <row r="24" spans="1:4" x14ac:dyDescent="0.25">
      <c r="A24" s="1" t="s">
        <v>33</v>
      </c>
      <c r="B24" s="1">
        <v>1.0752314814814756E-2</v>
      </c>
      <c r="D24" s="2">
        <f t="shared" si="0"/>
        <v>15.483333333333249</v>
      </c>
    </row>
    <row r="25" spans="1:4" x14ac:dyDescent="0.25">
      <c r="A25" s="1" t="s">
        <v>33</v>
      </c>
      <c r="B25" s="1">
        <v>4.3634259259259234E-2</v>
      </c>
      <c r="D25" s="2">
        <f t="shared" si="0"/>
        <v>62.8333333333333</v>
      </c>
    </row>
    <row r="26" spans="1:4" x14ac:dyDescent="0.25">
      <c r="A26" s="1" t="s">
        <v>33</v>
      </c>
      <c r="B26" s="1">
        <v>7.8125E-3</v>
      </c>
      <c r="D26" s="2">
        <f t="shared" si="0"/>
        <v>11.25</v>
      </c>
    </row>
    <row r="27" spans="1:4" x14ac:dyDescent="0.25">
      <c r="A27" s="1" t="s">
        <v>33</v>
      </c>
      <c r="B27" s="1">
        <v>2.3692129629629629E-2</v>
      </c>
      <c r="D27" s="2">
        <f t="shared" si="0"/>
        <v>34.116666666666667</v>
      </c>
    </row>
    <row r="28" spans="1:4" x14ac:dyDescent="0.25">
      <c r="A28" s="1" t="s">
        <v>33</v>
      </c>
      <c r="B28" s="1">
        <v>2.3692129629629632E-2</v>
      </c>
      <c r="D28" s="2">
        <f t="shared" si="0"/>
        <v>34.116666666666674</v>
      </c>
    </row>
    <row r="29" spans="1:4" x14ac:dyDescent="0.25">
      <c r="A29" s="1" t="s">
        <v>33</v>
      </c>
      <c r="B29" s="1">
        <v>9.8726851851851372E-3</v>
      </c>
      <c r="D29" s="2">
        <f t="shared" si="0"/>
        <v>14.216666666666598</v>
      </c>
    </row>
    <row r="30" spans="1:4" x14ac:dyDescent="0.25">
      <c r="A30" s="1" t="s">
        <v>33</v>
      </c>
      <c r="B30" s="1">
        <v>2.7314814814814847E-2</v>
      </c>
      <c r="D30" s="2">
        <f t="shared" si="0"/>
        <v>39.333333333333378</v>
      </c>
    </row>
    <row r="31" spans="1:4" x14ac:dyDescent="0.25">
      <c r="A31" s="1" t="s">
        <v>33</v>
      </c>
      <c r="B31" s="1">
        <v>1.0925925925926006E-2</v>
      </c>
      <c r="D31" s="2">
        <f t="shared" si="0"/>
        <v>15.733333333333448</v>
      </c>
    </row>
    <row r="32" spans="1:4" x14ac:dyDescent="0.25">
      <c r="A32" s="1" t="s">
        <v>33</v>
      </c>
      <c r="B32" s="1">
        <v>1.749999999999996E-2</v>
      </c>
      <c r="D32" s="2">
        <f t="shared" si="0"/>
        <v>25.199999999999942</v>
      </c>
    </row>
    <row r="33" spans="1:4" x14ac:dyDescent="0.25">
      <c r="A33" s="1" t="s">
        <v>33</v>
      </c>
      <c r="B33" s="1">
        <v>2.0231481481481517E-2</v>
      </c>
      <c r="D33" s="2">
        <f t="shared" si="0"/>
        <v>29.133333333333383</v>
      </c>
    </row>
    <row r="34" spans="1:4" x14ac:dyDescent="0.25">
      <c r="A34" s="1" t="s">
        <v>33</v>
      </c>
      <c r="B34" s="1">
        <v>0.24134259259259261</v>
      </c>
      <c r="D34" s="2">
        <f t="shared" si="0"/>
        <v>347.53333333333336</v>
      </c>
    </row>
    <row r="35" spans="1:4" x14ac:dyDescent="0.25">
      <c r="A35" s="1" t="s">
        <v>33</v>
      </c>
      <c r="B35" s="1">
        <v>2.864583333333337E-2</v>
      </c>
      <c r="D35" s="2">
        <f t="shared" si="0"/>
        <v>41.250000000000057</v>
      </c>
    </row>
    <row r="36" spans="1:4" x14ac:dyDescent="0.25">
      <c r="A36" s="1" t="s">
        <v>33</v>
      </c>
      <c r="B36" s="1">
        <v>1.2048611111111107E-2</v>
      </c>
      <c r="D36" s="2">
        <f t="shared" si="0"/>
        <v>17.349999999999994</v>
      </c>
    </row>
    <row r="37" spans="1:4" x14ac:dyDescent="0.25">
      <c r="A37" s="1" t="s">
        <v>33</v>
      </c>
      <c r="B37" s="1">
        <v>1.3969907407407445E-2</v>
      </c>
      <c r="D37" s="2">
        <f t="shared" si="0"/>
        <v>20.11666666666672</v>
      </c>
    </row>
    <row r="38" spans="1:4" x14ac:dyDescent="0.25">
      <c r="A38" s="1" t="s">
        <v>33</v>
      </c>
      <c r="B38" s="1">
        <v>2.1770833333333295E-2</v>
      </c>
      <c r="D38" s="2">
        <f t="shared" si="0"/>
        <v>31.349999999999945</v>
      </c>
    </row>
    <row r="39" spans="1:4" x14ac:dyDescent="0.25">
      <c r="A39" s="1" t="s">
        <v>33</v>
      </c>
      <c r="B39" s="1">
        <v>1.1805555555555514E-2</v>
      </c>
      <c r="D39" s="2">
        <f t="shared" si="0"/>
        <v>16.99999999999994</v>
      </c>
    </row>
    <row r="40" spans="1:4" x14ac:dyDescent="0.25">
      <c r="A40" s="1" t="s">
        <v>33</v>
      </c>
      <c r="B40" s="1">
        <v>1.778935185185182E-2</v>
      </c>
      <c r="D40" s="2">
        <f t="shared" si="0"/>
        <v>25.616666666666621</v>
      </c>
    </row>
    <row r="41" spans="1:4" x14ac:dyDescent="0.25">
      <c r="A41" s="1" t="s">
        <v>33</v>
      </c>
      <c r="B41" s="1">
        <v>1.86574074074074E-2</v>
      </c>
      <c r="D41" s="2">
        <f t="shared" si="0"/>
        <v>26.866666666666656</v>
      </c>
    </row>
    <row r="42" spans="1:4" x14ac:dyDescent="0.25">
      <c r="A42" s="1" t="s">
        <v>33</v>
      </c>
      <c r="B42" s="1">
        <v>7.2106481481481466E-3</v>
      </c>
      <c r="D42" s="2">
        <f t="shared" si="0"/>
        <v>10.383333333333331</v>
      </c>
    </row>
    <row r="43" spans="1:4" x14ac:dyDescent="0.25">
      <c r="A43" s="1" t="s">
        <v>33</v>
      </c>
      <c r="B43" s="1">
        <v>2.3888888888888904E-2</v>
      </c>
      <c r="D43" s="2">
        <f t="shared" si="0"/>
        <v>34.40000000000002</v>
      </c>
    </row>
    <row r="44" spans="1:4" x14ac:dyDescent="0.25">
      <c r="A44" s="1" t="s">
        <v>33</v>
      </c>
      <c r="B44" s="1">
        <v>1.1481481481481481E-2</v>
      </c>
      <c r="D44" s="2">
        <f t="shared" si="0"/>
        <v>16.533333333333331</v>
      </c>
    </row>
    <row r="45" spans="1:4" x14ac:dyDescent="0.25">
      <c r="A45" s="1" t="s">
        <v>33</v>
      </c>
      <c r="B45" s="1">
        <v>1.9722222222222197E-2</v>
      </c>
      <c r="D45" s="2">
        <f t="shared" si="0"/>
        <v>28.399999999999963</v>
      </c>
    </row>
    <row r="46" spans="1:4" x14ac:dyDescent="0.25">
      <c r="A46" s="1" t="s">
        <v>33</v>
      </c>
      <c r="B46" s="1">
        <v>1.7962962962962958E-2</v>
      </c>
      <c r="D46" s="2">
        <f t="shared" si="0"/>
        <v>25.86666666666666</v>
      </c>
    </row>
    <row r="47" spans="1:4" x14ac:dyDescent="0.25">
      <c r="A47" s="1" t="s">
        <v>33</v>
      </c>
      <c r="B47" s="1">
        <v>2.2476851851851887E-2</v>
      </c>
      <c r="D47" s="2">
        <f t="shared" si="0"/>
        <v>32.366666666666717</v>
      </c>
    </row>
    <row r="48" spans="1:4" x14ac:dyDescent="0.25">
      <c r="A48" s="1" t="s">
        <v>33</v>
      </c>
      <c r="B48" s="1">
        <v>1.2812500000000004E-2</v>
      </c>
      <c r="D48" s="2">
        <f t="shared" si="0"/>
        <v>18.450000000000006</v>
      </c>
    </row>
    <row r="49" spans="1:4" x14ac:dyDescent="0.25">
      <c r="A49" s="1" t="s">
        <v>33</v>
      </c>
      <c r="B49" s="1">
        <v>2.2233796296296293E-2</v>
      </c>
      <c r="D49" s="2">
        <f t="shared" si="0"/>
        <v>32.016666666666666</v>
      </c>
    </row>
    <row r="50" spans="1:4" x14ac:dyDescent="0.25">
      <c r="A50" s="1" t="s">
        <v>33</v>
      </c>
      <c r="B50" s="1">
        <v>1.8981481481481488E-2</v>
      </c>
      <c r="D50" s="2">
        <f t="shared" si="0"/>
        <v>27.333333333333343</v>
      </c>
    </row>
    <row r="51" spans="1:4" x14ac:dyDescent="0.25">
      <c r="A51" s="1" t="s">
        <v>33</v>
      </c>
      <c r="B51" s="1">
        <v>9.6759259259259212E-3</v>
      </c>
      <c r="D51" s="2">
        <f t="shared" si="0"/>
        <v>13.933333333333326</v>
      </c>
    </row>
    <row r="52" spans="1:4" x14ac:dyDescent="0.25">
      <c r="A52" s="1" t="s">
        <v>33</v>
      </c>
      <c r="B52" s="1">
        <v>8.8078703703703409E-3</v>
      </c>
      <c r="D52" s="2">
        <f t="shared" si="0"/>
        <v>12.683333333333291</v>
      </c>
    </row>
    <row r="53" spans="1:4" x14ac:dyDescent="0.25">
      <c r="A53" s="1" t="s">
        <v>33</v>
      </c>
      <c r="B53" s="1">
        <v>1.1550925925925992E-2</v>
      </c>
      <c r="D53" s="2">
        <f t="shared" si="0"/>
        <v>16.633333333333429</v>
      </c>
    </row>
    <row r="54" spans="1:4" x14ac:dyDescent="0.25">
      <c r="A54" s="1" t="s">
        <v>34</v>
      </c>
      <c r="B54" s="1">
        <v>1.8125000000000058E-2</v>
      </c>
      <c r="D54" s="2">
        <f t="shared" si="0"/>
        <v>26.100000000000083</v>
      </c>
    </row>
    <row r="55" spans="1:4" x14ac:dyDescent="0.25">
      <c r="A55" s="1" t="s">
        <v>34</v>
      </c>
      <c r="B55" s="1">
        <v>3.7534722222222205E-2</v>
      </c>
      <c r="D55" s="2">
        <f t="shared" si="0"/>
        <v>54.049999999999976</v>
      </c>
    </row>
    <row r="56" spans="1:4" x14ac:dyDescent="0.25">
      <c r="A56" s="1" t="s">
        <v>34</v>
      </c>
      <c r="B56" s="1">
        <v>2.7870370370370434E-2</v>
      </c>
      <c r="D56" s="2">
        <f t="shared" si="0"/>
        <v>40.133333333333425</v>
      </c>
    </row>
    <row r="57" spans="1:4" x14ac:dyDescent="0.25">
      <c r="A57" s="1" t="s">
        <v>34</v>
      </c>
      <c r="B57" s="1">
        <v>8.1226851851851856E-2</v>
      </c>
      <c r="D57" s="2">
        <f t="shared" si="0"/>
        <v>116.96666666666667</v>
      </c>
    </row>
    <row r="58" spans="1:4" x14ac:dyDescent="0.25">
      <c r="A58" s="1" t="s">
        <v>34</v>
      </c>
      <c r="B58" s="1">
        <v>2.2569444444444531E-2</v>
      </c>
      <c r="D58" s="2">
        <f t="shared" si="0"/>
        <v>32.500000000000128</v>
      </c>
    </row>
    <row r="59" spans="1:4" x14ac:dyDescent="0.25">
      <c r="A59" s="1" t="s">
        <v>34</v>
      </c>
      <c r="B59" s="1">
        <v>1.8067129629629641E-2</v>
      </c>
      <c r="D59" s="2">
        <f t="shared" si="0"/>
        <v>26.016666666666683</v>
      </c>
    </row>
    <row r="60" spans="1:4" x14ac:dyDescent="0.25">
      <c r="A60" s="1" t="s">
        <v>34</v>
      </c>
      <c r="B60" s="1">
        <v>9.2708333333333393E-3</v>
      </c>
      <c r="D60" s="2">
        <f t="shared" si="0"/>
        <v>13.350000000000009</v>
      </c>
    </row>
    <row r="61" spans="1:4" x14ac:dyDescent="0.25">
      <c r="A61" s="1" t="s">
        <v>34</v>
      </c>
      <c r="B61" s="1">
        <v>1.0682870370370412E-2</v>
      </c>
      <c r="D61" s="2">
        <f t="shared" si="0"/>
        <v>15.383333333333393</v>
      </c>
    </row>
    <row r="62" spans="1:4" x14ac:dyDescent="0.25">
      <c r="A62" s="1" t="s">
        <v>34</v>
      </c>
      <c r="B62" s="1">
        <v>1.4247685185185155E-2</v>
      </c>
      <c r="D62" s="2">
        <f t="shared" si="0"/>
        <v>20.516666666666623</v>
      </c>
    </row>
    <row r="63" spans="1:4" x14ac:dyDescent="0.25">
      <c r="A63" s="1" t="s">
        <v>34</v>
      </c>
      <c r="B63" s="1">
        <v>1.6574074074074074E-2</v>
      </c>
      <c r="D63" s="2">
        <f t="shared" si="0"/>
        <v>23.866666666666667</v>
      </c>
    </row>
    <row r="64" spans="1:4" x14ac:dyDescent="0.25">
      <c r="A64" s="1" t="s">
        <v>34</v>
      </c>
      <c r="B64" s="1">
        <v>2.0289351851851878E-2</v>
      </c>
      <c r="D64" s="2">
        <f t="shared" si="0"/>
        <v>29.216666666666704</v>
      </c>
    </row>
    <row r="65" spans="1:4" x14ac:dyDescent="0.25">
      <c r="A65" s="1" t="s">
        <v>34</v>
      </c>
      <c r="B65" s="1">
        <v>1.6388888888888897E-2</v>
      </c>
      <c r="D65" s="2">
        <f t="shared" si="0"/>
        <v>23.600000000000012</v>
      </c>
    </row>
    <row r="66" spans="1:4" x14ac:dyDescent="0.25">
      <c r="A66" s="1" t="s">
        <v>34</v>
      </c>
      <c r="B66" s="1">
        <v>1.1111111111111183E-2</v>
      </c>
      <c r="D66" s="2">
        <f t="shared" si="0"/>
        <v>16.000000000000103</v>
      </c>
    </row>
    <row r="67" spans="1:4" x14ac:dyDescent="0.25">
      <c r="A67" s="1" t="s">
        <v>34</v>
      </c>
      <c r="B67" s="1">
        <v>1.0648148148148073E-2</v>
      </c>
      <c r="D67" s="2">
        <f t="shared" ref="D67:D130" si="1">B67*1440</f>
        <v>15.333333333333226</v>
      </c>
    </row>
    <row r="68" spans="1:4" x14ac:dyDescent="0.25">
      <c r="A68" s="1" t="s">
        <v>34</v>
      </c>
      <c r="B68" s="1">
        <v>1.2048611111111107E-2</v>
      </c>
      <c r="D68" s="2">
        <f t="shared" si="1"/>
        <v>17.349999999999994</v>
      </c>
    </row>
    <row r="69" spans="1:4" x14ac:dyDescent="0.25">
      <c r="A69" s="1" t="s">
        <v>34</v>
      </c>
      <c r="B69" s="1">
        <v>3.8460648148148091E-2</v>
      </c>
      <c r="D69" s="2">
        <f t="shared" si="1"/>
        <v>55.383333333333255</v>
      </c>
    </row>
    <row r="70" spans="1:4" x14ac:dyDescent="0.25">
      <c r="A70" s="1" t="s">
        <v>34</v>
      </c>
      <c r="B70" s="1">
        <v>1.3124999999999942E-2</v>
      </c>
      <c r="D70" s="2">
        <f t="shared" si="1"/>
        <v>18.899999999999917</v>
      </c>
    </row>
    <row r="71" spans="1:4" x14ac:dyDescent="0.25">
      <c r="A71" s="1" t="s">
        <v>34</v>
      </c>
      <c r="B71" s="1">
        <v>1.3692129629629624E-2</v>
      </c>
      <c r="D71" s="2">
        <f t="shared" si="1"/>
        <v>19.716666666666658</v>
      </c>
    </row>
    <row r="72" spans="1:4" x14ac:dyDescent="0.25">
      <c r="A72" s="1" t="s">
        <v>34</v>
      </c>
      <c r="B72" s="1">
        <v>1.2175925925925979E-2</v>
      </c>
      <c r="D72" s="2">
        <f t="shared" si="1"/>
        <v>17.53333333333341</v>
      </c>
    </row>
    <row r="73" spans="1:4" x14ac:dyDescent="0.25">
      <c r="A73" s="1" t="s">
        <v>34</v>
      </c>
      <c r="B73" s="1">
        <v>2.2881944444444469E-2</v>
      </c>
      <c r="D73" s="2">
        <f t="shared" si="1"/>
        <v>32.950000000000031</v>
      </c>
    </row>
    <row r="74" spans="1:4" x14ac:dyDescent="0.25">
      <c r="A74" s="1" t="s">
        <v>34</v>
      </c>
      <c r="B74" s="1">
        <v>3.6921296296296258E-2</v>
      </c>
      <c r="D74" s="2">
        <f t="shared" si="1"/>
        <v>53.166666666666615</v>
      </c>
    </row>
    <row r="75" spans="1:4" x14ac:dyDescent="0.25">
      <c r="A75" s="1" t="s">
        <v>34</v>
      </c>
      <c r="B75" s="1">
        <v>1.504629629629628E-2</v>
      </c>
      <c r="D75" s="2">
        <f t="shared" si="1"/>
        <v>21.666666666666643</v>
      </c>
    </row>
    <row r="76" spans="1:4" x14ac:dyDescent="0.25">
      <c r="A76" s="1" t="s">
        <v>34</v>
      </c>
      <c r="B76" s="1">
        <v>1.315972222222217E-2</v>
      </c>
      <c r="D76" s="2">
        <f t="shared" si="1"/>
        <v>18.949999999999925</v>
      </c>
    </row>
    <row r="77" spans="1:4" x14ac:dyDescent="0.25">
      <c r="A77" s="1" t="s">
        <v>34</v>
      </c>
      <c r="B77" s="1">
        <v>1.8067129629629641E-2</v>
      </c>
      <c r="D77" s="2">
        <f t="shared" si="1"/>
        <v>26.016666666666683</v>
      </c>
    </row>
    <row r="78" spans="1:4" x14ac:dyDescent="0.25">
      <c r="A78" s="1" t="s">
        <v>34</v>
      </c>
      <c r="B78" s="1">
        <v>1.7638888888888982E-2</v>
      </c>
      <c r="D78" s="2">
        <f t="shared" si="1"/>
        <v>25.400000000000134</v>
      </c>
    </row>
    <row r="79" spans="1:4" x14ac:dyDescent="0.25">
      <c r="A79" s="1" t="s">
        <v>34</v>
      </c>
      <c r="B79" s="1">
        <v>1.9965277777777679E-2</v>
      </c>
      <c r="D79" s="2">
        <f t="shared" si="1"/>
        <v>28.749999999999858</v>
      </c>
    </row>
    <row r="80" spans="1:4" x14ac:dyDescent="0.25">
      <c r="A80" s="1" t="s">
        <v>34</v>
      </c>
      <c r="B80" s="1">
        <v>2.96643518518519E-2</v>
      </c>
      <c r="D80" s="2">
        <f t="shared" si="1"/>
        <v>42.71666666666674</v>
      </c>
    </row>
    <row r="81" spans="1:4" x14ac:dyDescent="0.25">
      <c r="A81" s="1" t="s">
        <v>34</v>
      </c>
      <c r="B81" s="1">
        <v>2.0856481481481559E-2</v>
      </c>
      <c r="D81" s="2">
        <f t="shared" si="1"/>
        <v>30.033333333333445</v>
      </c>
    </row>
    <row r="82" spans="1:4" x14ac:dyDescent="0.25">
      <c r="A82" s="1" t="s">
        <v>34</v>
      </c>
      <c r="B82" s="1">
        <v>1.4814814814814836E-2</v>
      </c>
      <c r="D82" s="2">
        <f t="shared" si="1"/>
        <v>21.333333333333364</v>
      </c>
    </row>
    <row r="83" spans="1:4" x14ac:dyDescent="0.25">
      <c r="A83" s="1" t="s">
        <v>34</v>
      </c>
      <c r="B83" s="1">
        <v>1.3391203703703725E-2</v>
      </c>
      <c r="D83" s="2">
        <f t="shared" si="1"/>
        <v>19.283333333333363</v>
      </c>
    </row>
    <row r="84" spans="1:4" x14ac:dyDescent="0.25">
      <c r="A84" s="1" t="s">
        <v>34</v>
      </c>
      <c r="B84" s="1">
        <v>1.3194444444444398E-2</v>
      </c>
      <c r="D84" s="2">
        <f t="shared" si="1"/>
        <v>18.999999999999932</v>
      </c>
    </row>
    <row r="85" spans="1:4" x14ac:dyDescent="0.25">
      <c r="A85" s="1" t="s">
        <v>34</v>
      </c>
      <c r="B85" s="1">
        <v>1.7800925925925859E-2</v>
      </c>
      <c r="D85" s="2">
        <f t="shared" si="1"/>
        <v>25.633333333333237</v>
      </c>
    </row>
    <row r="86" spans="1:4" x14ac:dyDescent="0.25">
      <c r="A86" s="1" t="s">
        <v>34</v>
      </c>
      <c r="B86" s="1">
        <v>1.9386574074074014E-2</v>
      </c>
      <c r="D86" s="2">
        <f t="shared" si="1"/>
        <v>27.916666666666579</v>
      </c>
    </row>
    <row r="87" spans="1:4" x14ac:dyDescent="0.25">
      <c r="A87" s="1" t="s">
        <v>34</v>
      </c>
      <c r="B87" s="1">
        <v>2.9016203703703669E-2</v>
      </c>
      <c r="D87" s="2">
        <f t="shared" si="1"/>
        <v>41.783333333333282</v>
      </c>
    </row>
    <row r="88" spans="1:4" x14ac:dyDescent="0.25">
      <c r="A88" s="1" t="s">
        <v>34</v>
      </c>
      <c r="B88" s="1">
        <v>2.7280092592592564E-2</v>
      </c>
      <c r="D88" s="2">
        <f t="shared" si="1"/>
        <v>39.283333333333289</v>
      </c>
    </row>
    <row r="89" spans="1:4" x14ac:dyDescent="0.25">
      <c r="A89" s="1" t="s">
        <v>34</v>
      </c>
      <c r="B89" s="1">
        <v>3.6504629629629637E-2</v>
      </c>
      <c r="D89" s="2">
        <f t="shared" si="1"/>
        <v>52.566666666666677</v>
      </c>
    </row>
    <row r="90" spans="1:4" x14ac:dyDescent="0.25">
      <c r="A90" s="1" t="s">
        <v>34</v>
      </c>
      <c r="B90" s="1">
        <v>2.9270833333333357E-2</v>
      </c>
      <c r="D90" s="2">
        <f t="shared" si="1"/>
        <v>42.150000000000034</v>
      </c>
    </row>
    <row r="91" spans="1:4" x14ac:dyDescent="0.25">
      <c r="A91" s="1" t="s">
        <v>34</v>
      </c>
      <c r="B91" s="1">
        <v>1.1504629629629615E-2</v>
      </c>
      <c r="D91" s="2">
        <f t="shared" si="1"/>
        <v>16.566666666666645</v>
      </c>
    </row>
    <row r="92" spans="1:4" x14ac:dyDescent="0.25">
      <c r="A92" s="1" t="s">
        <v>34</v>
      </c>
      <c r="B92" s="1">
        <v>2.9421296296296195E-2</v>
      </c>
      <c r="D92" s="2">
        <f t="shared" si="1"/>
        <v>42.366666666666518</v>
      </c>
    </row>
    <row r="93" spans="1:4" x14ac:dyDescent="0.25">
      <c r="A93" s="1" t="s">
        <v>34</v>
      </c>
      <c r="B93" s="1">
        <v>2.0069444444444473E-2</v>
      </c>
      <c r="D93" s="2">
        <f t="shared" si="1"/>
        <v>28.900000000000041</v>
      </c>
    </row>
    <row r="94" spans="1:4" x14ac:dyDescent="0.25">
      <c r="A94" s="1" t="s">
        <v>34</v>
      </c>
      <c r="B94" s="1">
        <v>1.7465277777777843E-2</v>
      </c>
      <c r="D94" s="2">
        <f t="shared" si="1"/>
        <v>25.150000000000095</v>
      </c>
    </row>
    <row r="95" spans="1:4" x14ac:dyDescent="0.25">
      <c r="A95" s="1" t="s">
        <v>34</v>
      </c>
      <c r="B95" s="1">
        <v>1.635416666666667E-2</v>
      </c>
      <c r="D95" s="2">
        <f t="shared" si="1"/>
        <v>23.550000000000004</v>
      </c>
    </row>
    <row r="96" spans="1:4" x14ac:dyDescent="0.25">
      <c r="A96" s="1" t="s">
        <v>34</v>
      </c>
      <c r="B96" s="1">
        <v>1.8344907407407351E-2</v>
      </c>
      <c r="D96" s="2">
        <f t="shared" si="1"/>
        <v>26.416666666666586</v>
      </c>
    </row>
    <row r="97" spans="1:4" x14ac:dyDescent="0.25">
      <c r="A97" s="1" t="s">
        <v>34</v>
      </c>
      <c r="B97" s="1">
        <v>1.9039351851851793E-2</v>
      </c>
      <c r="D97" s="2">
        <f t="shared" si="1"/>
        <v>27.416666666666583</v>
      </c>
    </row>
    <row r="98" spans="1:4" x14ac:dyDescent="0.25">
      <c r="A98" s="1" t="s">
        <v>34</v>
      </c>
      <c r="B98" s="1">
        <v>1.6365740740740709E-2</v>
      </c>
      <c r="D98" s="2">
        <f t="shared" si="1"/>
        <v>23.56666666666662</v>
      </c>
    </row>
    <row r="99" spans="1:4" x14ac:dyDescent="0.25">
      <c r="A99" s="1" t="s">
        <v>34</v>
      </c>
      <c r="B99" s="1">
        <v>1.5347222222222179E-2</v>
      </c>
      <c r="D99" s="2">
        <f t="shared" si="1"/>
        <v>22.099999999999937</v>
      </c>
    </row>
    <row r="100" spans="1:4" x14ac:dyDescent="0.25">
      <c r="A100" s="1" t="s">
        <v>34</v>
      </c>
      <c r="B100" s="1">
        <v>2.3692129629629632E-2</v>
      </c>
      <c r="D100" s="2">
        <f t="shared" si="1"/>
        <v>34.116666666666674</v>
      </c>
    </row>
    <row r="101" spans="1:4" x14ac:dyDescent="0.25">
      <c r="A101" s="1" t="s">
        <v>34</v>
      </c>
      <c r="B101" s="1">
        <v>1.9710648148148158E-2</v>
      </c>
      <c r="D101" s="2">
        <f t="shared" si="1"/>
        <v>28.383333333333347</v>
      </c>
    </row>
    <row r="102" spans="1:4" x14ac:dyDescent="0.25">
      <c r="A102" s="1" t="s">
        <v>34</v>
      </c>
      <c r="B102" s="1">
        <v>1.8923611111111072E-2</v>
      </c>
      <c r="D102" s="2">
        <f t="shared" si="1"/>
        <v>27.249999999999943</v>
      </c>
    </row>
    <row r="103" spans="1:4" x14ac:dyDescent="0.25">
      <c r="A103" s="1" t="s">
        <v>34</v>
      </c>
      <c r="B103" s="1">
        <v>4.7986111111111118E-2</v>
      </c>
      <c r="D103" s="2">
        <f t="shared" si="1"/>
        <v>69.100000000000009</v>
      </c>
    </row>
    <row r="104" spans="1:4" x14ac:dyDescent="0.25">
      <c r="A104" s="1" t="s">
        <v>34</v>
      </c>
      <c r="B104" s="1">
        <v>1.3761574074074079E-2</v>
      </c>
      <c r="D104" s="2">
        <f t="shared" si="1"/>
        <v>19.816666666666674</v>
      </c>
    </row>
    <row r="105" spans="1:4" x14ac:dyDescent="0.25">
      <c r="A105" s="1" t="s">
        <v>34</v>
      </c>
      <c r="B105" s="1">
        <v>1.3553240740740768E-2</v>
      </c>
      <c r="D105" s="2">
        <f t="shared" si="1"/>
        <v>19.516666666666708</v>
      </c>
    </row>
    <row r="106" spans="1:4" x14ac:dyDescent="0.25">
      <c r="A106" s="1" t="s">
        <v>34</v>
      </c>
      <c r="B106" s="1">
        <v>9.5254629629629717E-3</v>
      </c>
      <c r="D106" s="2">
        <f t="shared" si="1"/>
        <v>13.716666666666679</v>
      </c>
    </row>
    <row r="107" spans="1:4" x14ac:dyDescent="0.25">
      <c r="A107" s="1" t="s">
        <v>34</v>
      </c>
      <c r="B107" s="1">
        <v>9.4675925925926108E-3</v>
      </c>
      <c r="D107" s="2">
        <f t="shared" si="1"/>
        <v>13.63333333333336</v>
      </c>
    </row>
    <row r="108" spans="1:4" x14ac:dyDescent="0.25">
      <c r="A108" s="1" t="s">
        <v>34</v>
      </c>
      <c r="B108" s="1">
        <v>1.1030092592592577E-2</v>
      </c>
      <c r="D108" s="2">
        <f t="shared" si="1"/>
        <v>15.883333333333312</v>
      </c>
    </row>
    <row r="109" spans="1:4" x14ac:dyDescent="0.25">
      <c r="A109" s="1" t="s">
        <v>34</v>
      </c>
      <c r="B109" s="1">
        <v>1.0474537037037046E-2</v>
      </c>
      <c r="D109" s="2">
        <f t="shared" si="1"/>
        <v>15.083333333333346</v>
      </c>
    </row>
    <row r="110" spans="1:4" x14ac:dyDescent="0.25">
      <c r="A110" s="1" t="s">
        <v>34</v>
      </c>
      <c r="B110" s="1">
        <v>1.7777777777777781E-2</v>
      </c>
      <c r="D110" s="2">
        <f t="shared" si="1"/>
        <v>25.600000000000005</v>
      </c>
    </row>
    <row r="111" spans="1:4" x14ac:dyDescent="0.25">
      <c r="A111" s="1" t="s">
        <v>34</v>
      </c>
      <c r="B111" s="1">
        <v>1.3564814814814752E-2</v>
      </c>
      <c r="D111" s="2">
        <f t="shared" si="1"/>
        <v>19.533333333333243</v>
      </c>
    </row>
    <row r="112" spans="1:4" x14ac:dyDescent="0.25">
      <c r="A112" s="1" t="s">
        <v>34</v>
      </c>
      <c r="B112" s="1">
        <v>8.7731481481481133E-3</v>
      </c>
      <c r="D112" s="2">
        <f t="shared" si="1"/>
        <v>12.633333333333283</v>
      </c>
    </row>
    <row r="113" spans="1:4" x14ac:dyDescent="0.25">
      <c r="A113" s="1" t="s">
        <v>34</v>
      </c>
      <c r="B113" s="1">
        <v>5.135416666666659E-2</v>
      </c>
      <c r="D113" s="2">
        <f t="shared" si="1"/>
        <v>73.949999999999889</v>
      </c>
    </row>
    <row r="114" spans="1:4" x14ac:dyDescent="0.25">
      <c r="A114" s="1" t="s">
        <v>34</v>
      </c>
      <c r="B114" s="1">
        <v>1.2858796296296271E-2</v>
      </c>
      <c r="D114" s="2">
        <f t="shared" si="1"/>
        <v>18.51666666666663</v>
      </c>
    </row>
    <row r="115" spans="1:4" x14ac:dyDescent="0.25">
      <c r="A115" s="1" t="s">
        <v>34</v>
      </c>
      <c r="B115" s="1">
        <v>2.0844907407407409E-2</v>
      </c>
      <c r="D115" s="2">
        <f t="shared" si="1"/>
        <v>30.016666666666669</v>
      </c>
    </row>
    <row r="116" spans="1:4" x14ac:dyDescent="0.25">
      <c r="A116" s="1" t="s">
        <v>34</v>
      </c>
      <c r="B116" s="1">
        <v>1.6134259259259265E-2</v>
      </c>
      <c r="D116" s="2">
        <f t="shared" si="1"/>
        <v>23.233333333333341</v>
      </c>
    </row>
    <row r="117" spans="1:4" x14ac:dyDescent="0.25">
      <c r="A117" s="1" t="s">
        <v>34</v>
      </c>
      <c r="B117" s="1">
        <v>1.5960648148148127E-2</v>
      </c>
      <c r="D117" s="2">
        <f t="shared" si="1"/>
        <v>22.983333333333302</v>
      </c>
    </row>
    <row r="118" spans="1:4" x14ac:dyDescent="0.25">
      <c r="A118" s="1" t="s">
        <v>34</v>
      </c>
      <c r="B118" s="1">
        <v>1.0879629629629628E-2</v>
      </c>
      <c r="D118" s="2">
        <f t="shared" si="1"/>
        <v>15.666666666666664</v>
      </c>
    </row>
    <row r="119" spans="1:4" x14ac:dyDescent="0.25">
      <c r="A119" s="1" t="s">
        <v>34</v>
      </c>
      <c r="B119" s="1">
        <v>1.3240740740740775E-2</v>
      </c>
      <c r="D119" s="2">
        <f t="shared" si="1"/>
        <v>19.066666666666716</v>
      </c>
    </row>
    <row r="120" spans="1:4" x14ac:dyDescent="0.25">
      <c r="A120" s="1" t="s">
        <v>34</v>
      </c>
      <c r="B120" s="1">
        <v>1.2962962962962954E-2</v>
      </c>
      <c r="D120" s="2">
        <f t="shared" si="1"/>
        <v>18.666666666666654</v>
      </c>
    </row>
    <row r="121" spans="1:4" x14ac:dyDescent="0.25">
      <c r="A121" s="1" t="s">
        <v>34</v>
      </c>
      <c r="B121" s="1">
        <v>8.1249999999999933E-3</v>
      </c>
      <c r="D121" s="2">
        <f t="shared" si="1"/>
        <v>11.69999999999999</v>
      </c>
    </row>
    <row r="122" spans="1:4" x14ac:dyDescent="0.25">
      <c r="A122" s="1" t="s">
        <v>34</v>
      </c>
      <c r="B122" s="1">
        <v>9.1087962962962954E-3</v>
      </c>
      <c r="D122" s="2">
        <f t="shared" si="1"/>
        <v>13.116666666666665</v>
      </c>
    </row>
    <row r="123" spans="1:4" x14ac:dyDescent="0.25">
      <c r="A123" s="1" t="s">
        <v>34</v>
      </c>
      <c r="B123" s="1">
        <v>1.2233796296296284E-2</v>
      </c>
      <c r="D123" s="2">
        <f t="shared" si="1"/>
        <v>17.616666666666649</v>
      </c>
    </row>
    <row r="124" spans="1:4" x14ac:dyDescent="0.25">
      <c r="A124" s="1" t="s">
        <v>34</v>
      </c>
      <c r="B124" s="1">
        <v>1.9814814814814841E-2</v>
      </c>
      <c r="D124" s="2">
        <f t="shared" si="1"/>
        <v>28.533333333333371</v>
      </c>
    </row>
    <row r="125" spans="1:4" x14ac:dyDescent="0.25">
      <c r="A125" s="1" t="s">
        <v>34</v>
      </c>
      <c r="B125" s="1">
        <v>2.1701388888888951E-2</v>
      </c>
      <c r="D125" s="2">
        <f t="shared" si="1"/>
        <v>31.250000000000089</v>
      </c>
    </row>
    <row r="126" spans="1:4" x14ac:dyDescent="0.25">
      <c r="A126" s="1" t="s">
        <v>34</v>
      </c>
      <c r="B126" s="1">
        <v>5.2881944444444495E-2</v>
      </c>
      <c r="D126" s="2">
        <f t="shared" si="1"/>
        <v>76.150000000000077</v>
      </c>
    </row>
    <row r="127" spans="1:4" x14ac:dyDescent="0.25">
      <c r="A127" s="1" t="s">
        <v>34</v>
      </c>
      <c r="B127" s="1">
        <v>1.4340277777777799E-2</v>
      </c>
      <c r="D127" s="2">
        <f t="shared" si="1"/>
        <v>20.650000000000031</v>
      </c>
    </row>
    <row r="128" spans="1:4" x14ac:dyDescent="0.25">
      <c r="A128" s="1" t="s">
        <v>34</v>
      </c>
      <c r="B128" s="1">
        <v>1.4780092592592609E-2</v>
      </c>
      <c r="D128" s="2">
        <f t="shared" si="1"/>
        <v>21.283333333333356</v>
      </c>
    </row>
    <row r="129" spans="1:4" x14ac:dyDescent="0.25">
      <c r="A129" s="1" t="s">
        <v>34</v>
      </c>
      <c r="B129" s="1">
        <v>3.3310185185185248E-2</v>
      </c>
      <c r="D129" s="2">
        <f t="shared" si="1"/>
        <v>47.966666666666754</v>
      </c>
    </row>
    <row r="130" spans="1:4" x14ac:dyDescent="0.25">
      <c r="A130" s="1" t="s">
        <v>34</v>
      </c>
      <c r="B130" s="1">
        <v>3.2314814814814796E-2</v>
      </c>
      <c r="D130" s="2">
        <f t="shared" si="1"/>
        <v>46.533333333333303</v>
      </c>
    </row>
    <row r="131" spans="1:4" x14ac:dyDescent="0.25">
      <c r="A131" s="1" t="s">
        <v>34</v>
      </c>
      <c r="B131" s="1">
        <v>1.2106481481481524E-2</v>
      </c>
      <c r="D131" s="2">
        <f t="shared" ref="D131:D194" si="2">B131*1440</f>
        <v>17.433333333333394</v>
      </c>
    </row>
    <row r="132" spans="1:4" x14ac:dyDescent="0.25">
      <c r="A132" s="1" t="s">
        <v>34</v>
      </c>
      <c r="B132" s="1">
        <v>2.6412037037036984E-2</v>
      </c>
      <c r="D132" s="2">
        <f t="shared" si="2"/>
        <v>38.03333333333326</v>
      </c>
    </row>
    <row r="133" spans="1:4" x14ac:dyDescent="0.25">
      <c r="A133" s="1" t="s">
        <v>34</v>
      </c>
      <c r="B133" s="1">
        <v>1.5995370370370354E-2</v>
      </c>
      <c r="D133" s="2">
        <f t="shared" si="2"/>
        <v>23.03333333333331</v>
      </c>
    </row>
    <row r="134" spans="1:4" x14ac:dyDescent="0.25">
      <c r="A134" s="1" t="s">
        <v>34</v>
      </c>
      <c r="B134" s="1">
        <v>1.8958333333333299E-2</v>
      </c>
      <c r="D134" s="2">
        <f t="shared" si="2"/>
        <v>27.299999999999951</v>
      </c>
    </row>
    <row r="135" spans="1:4" x14ac:dyDescent="0.25">
      <c r="A135" s="1" t="s">
        <v>34</v>
      </c>
      <c r="B135" s="1">
        <v>1.2743055555555549E-2</v>
      </c>
      <c r="D135" s="2">
        <f t="shared" si="2"/>
        <v>18.349999999999991</v>
      </c>
    </row>
    <row r="136" spans="1:4" x14ac:dyDescent="0.25">
      <c r="A136" s="1" t="s">
        <v>34</v>
      </c>
      <c r="B136" s="1">
        <v>8.8194444444444353E-3</v>
      </c>
      <c r="D136" s="2">
        <f t="shared" si="2"/>
        <v>12.699999999999987</v>
      </c>
    </row>
    <row r="137" spans="1:4" x14ac:dyDescent="0.25">
      <c r="A137" s="1" t="s">
        <v>34</v>
      </c>
      <c r="B137" s="1">
        <v>1.0613425925925901E-2</v>
      </c>
      <c r="D137" s="2">
        <f t="shared" si="2"/>
        <v>15.283333333333298</v>
      </c>
    </row>
    <row r="138" spans="1:4" x14ac:dyDescent="0.25">
      <c r="A138" s="1" t="s">
        <v>34</v>
      </c>
      <c r="B138" s="1">
        <v>1.2627314814814827E-2</v>
      </c>
      <c r="D138" s="2">
        <f t="shared" si="2"/>
        <v>18.183333333333351</v>
      </c>
    </row>
    <row r="139" spans="1:4" x14ac:dyDescent="0.25">
      <c r="A139" s="1" t="s">
        <v>34</v>
      </c>
      <c r="B139" s="1">
        <v>2.8773148148148187E-2</v>
      </c>
      <c r="D139" s="2">
        <f t="shared" si="2"/>
        <v>41.433333333333387</v>
      </c>
    </row>
    <row r="140" spans="1:4" x14ac:dyDescent="0.25">
      <c r="A140" s="1" t="s">
        <v>34</v>
      </c>
      <c r="B140" s="1">
        <v>3.1157407407407356E-2</v>
      </c>
      <c r="D140" s="2">
        <f t="shared" si="2"/>
        <v>44.866666666666589</v>
      </c>
    </row>
    <row r="141" spans="1:4" x14ac:dyDescent="0.25">
      <c r="A141" s="1" t="s">
        <v>34</v>
      </c>
      <c r="B141" s="1">
        <v>1.7534722222222243E-2</v>
      </c>
      <c r="D141" s="2">
        <f t="shared" si="2"/>
        <v>25.250000000000028</v>
      </c>
    </row>
    <row r="142" spans="1:4" x14ac:dyDescent="0.25">
      <c r="A142" s="1" t="s">
        <v>34</v>
      </c>
      <c r="B142" s="1">
        <v>2.221064814814816E-2</v>
      </c>
      <c r="D142" s="2">
        <f t="shared" si="2"/>
        <v>31.983333333333348</v>
      </c>
    </row>
    <row r="143" spans="1:4" x14ac:dyDescent="0.25">
      <c r="A143" s="1" t="s">
        <v>34</v>
      </c>
      <c r="B143" s="1">
        <v>4.166666666666663E-2</v>
      </c>
      <c r="D143" s="2">
        <f t="shared" si="2"/>
        <v>59.999999999999943</v>
      </c>
    </row>
    <row r="144" spans="1:4" x14ac:dyDescent="0.25">
      <c r="A144" s="1" t="s">
        <v>34</v>
      </c>
      <c r="B144" s="1">
        <v>2.0393518518518561E-2</v>
      </c>
      <c r="D144" s="2">
        <f t="shared" si="2"/>
        <v>29.366666666666728</v>
      </c>
    </row>
    <row r="145" spans="1:4" x14ac:dyDescent="0.25">
      <c r="A145" s="1" t="s">
        <v>34</v>
      </c>
      <c r="B145" s="1">
        <v>1.1215277777777866E-2</v>
      </c>
      <c r="D145" s="2">
        <f t="shared" si="2"/>
        <v>16.150000000000126</v>
      </c>
    </row>
    <row r="146" spans="1:4" x14ac:dyDescent="0.25">
      <c r="A146" s="1" t="s">
        <v>34</v>
      </c>
      <c r="B146" s="1">
        <v>6.8865740740741144E-3</v>
      </c>
      <c r="D146" s="2">
        <f t="shared" si="2"/>
        <v>9.9166666666667247</v>
      </c>
    </row>
    <row r="147" spans="1:4" x14ac:dyDescent="0.25">
      <c r="A147" s="1" t="s">
        <v>34</v>
      </c>
      <c r="B147" s="1">
        <v>8.4490740740741366E-3</v>
      </c>
      <c r="D147" s="2">
        <f t="shared" si="2"/>
        <v>12.166666666666757</v>
      </c>
    </row>
    <row r="148" spans="1:4" x14ac:dyDescent="0.25">
      <c r="A148" s="1" t="s">
        <v>34</v>
      </c>
      <c r="B148" s="1">
        <v>1.3298611111111081E-2</v>
      </c>
      <c r="D148" s="2">
        <f t="shared" si="2"/>
        <v>19.149999999999956</v>
      </c>
    </row>
    <row r="149" spans="1:4" x14ac:dyDescent="0.25">
      <c r="A149" s="1" t="s">
        <v>34</v>
      </c>
      <c r="B149" s="1">
        <v>5.5208333333333082E-3</v>
      </c>
      <c r="D149" s="2">
        <f t="shared" si="2"/>
        <v>7.9499999999999638</v>
      </c>
    </row>
    <row r="150" spans="1:4" x14ac:dyDescent="0.25">
      <c r="A150" s="1" t="s">
        <v>34</v>
      </c>
      <c r="B150" s="1">
        <v>1.1122685185185222E-2</v>
      </c>
      <c r="D150" s="2">
        <f t="shared" si="2"/>
        <v>16.016666666666719</v>
      </c>
    </row>
    <row r="151" spans="1:4" x14ac:dyDescent="0.25">
      <c r="A151" s="1" t="s">
        <v>34</v>
      </c>
      <c r="B151" s="1">
        <v>1.1701388888888831E-2</v>
      </c>
      <c r="D151" s="2">
        <f t="shared" si="2"/>
        <v>16.849999999999916</v>
      </c>
    </row>
    <row r="152" spans="1:4" x14ac:dyDescent="0.25">
      <c r="A152" s="1" t="s">
        <v>34</v>
      </c>
      <c r="B152" s="1">
        <v>1.6550925925925886E-2</v>
      </c>
      <c r="D152" s="2">
        <f t="shared" si="2"/>
        <v>23.833333333333275</v>
      </c>
    </row>
    <row r="153" spans="1:4" x14ac:dyDescent="0.25">
      <c r="A153" s="1" t="s">
        <v>34</v>
      </c>
      <c r="B153" s="1">
        <v>1.6458333333333353E-2</v>
      </c>
      <c r="D153" s="2">
        <f t="shared" si="2"/>
        <v>23.700000000000028</v>
      </c>
    </row>
    <row r="154" spans="1:4" x14ac:dyDescent="0.25">
      <c r="A154" s="1" t="s">
        <v>34</v>
      </c>
      <c r="B154" s="1">
        <v>1.3333333333333419E-2</v>
      </c>
      <c r="D154" s="2">
        <f t="shared" si="2"/>
        <v>19.200000000000124</v>
      </c>
    </row>
    <row r="155" spans="1:4" x14ac:dyDescent="0.25">
      <c r="A155" s="1" t="s">
        <v>34</v>
      </c>
      <c r="B155" s="1">
        <v>1.070601851851849E-2</v>
      </c>
      <c r="D155" s="2">
        <f t="shared" si="2"/>
        <v>15.416666666666625</v>
      </c>
    </row>
    <row r="156" spans="1:4" x14ac:dyDescent="0.25">
      <c r="A156" s="1" t="s">
        <v>34</v>
      </c>
      <c r="B156" s="1">
        <v>1.3993055555555522E-2</v>
      </c>
      <c r="D156" s="2">
        <f t="shared" si="2"/>
        <v>20.149999999999952</v>
      </c>
    </row>
    <row r="157" spans="1:4" x14ac:dyDescent="0.25">
      <c r="A157" s="1" t="s">
        <v>34</v>
      </c>
      <c r="B157" s="1">
        <v>1.7268518518518516E-2</v>
      </c>
      <c r="D157" s="2">
        <f t="shared" si="2"/>
        <v>24.866666666666664</v>
      </c>
    </row>
    <row r="158" spans="1:4" x14ac:dyDescent="0.25">
      <c r="A158" s="1" t="s">
        <v>34</v>
      </c>
      <c r="B158" s="1">
        <v>2.5509259259259287E-2</v>
      </c>
      <c r="D158" s="2">
        <f t="shared" si="2"/>
        <v>36.733333333333377</v>
      </c>
    </row>
    <row r="159" spans="1:4" x14ac:dyDescent="0.25">
      <c r="A159" s="1" t="s">
        <v>34</v>
      </c>
      <c r="B159" s="1">
        <v>1.3194444444444398E-2</v>
      </c>
      <c r="D159" s="2">
        <f t="shared" si="2"/>
        <v>18.999999999999932</v>
      </c>
    </row>
    <row r="160" spans="1:4" x14ac:dyDescent="0.25">
      <c r="A160" s="1" t="s">
        <v>34</v>
      </c>
      <c r="B160" s="1">
        <v>8.2870370370370372E-3</v>
      </c>
      <c r="D160" s="2">
        <f t="shared" si="2"/>
        <v>11.933333333333334</v>
      </c>
    </row>
    <row r="161" spans="1:4" x14ac:dyDescent="0.25">
      <c r="A161" s="1" t="s">
        <v>34</v>
      </c>
      <c r="B161" s="1">
        <v>9.9421296296297035E-3</v>
      </c>
      <c r="D161" s="2">
        <f t="shared" si="2"/>
        <v>14.316666666666773</v>
      </c>
    </row>
    <row r="162" spans="1:4" x14ac:dyDescent="0.25">
      <c r="A162" s="1" t="s">
        <v>34</v>
      </c>
      <c r="B162" s="1">
        <v>1.0381944444444402E-2</v>
      </c>
      <c r="D162" s="2">
        <f t="shared" si="2"/>
        <v>14.949999999999939</v>
      </c>
    </row>
    <row r="163" spans="1:4" x14ac:dyDescent="0.25">
      <c r="A163" s="1" t="s">
        <v>34</v>
      </c>
      <c r="B163" s="1">
        <v>3.7731481481481532E-2</v>
      </c>
      <c r="D163" s="2">
        <f t="shared" si="2"/>
        <v>54.333333333333407</v>
      </c>
    </row>
    <row r="164" spans="1:4" x14ac:dyDescent="0.25">
      <c r="A164" s="1" t="s">
        <v>34</v>
      </c>
      <c r="B164" s="1">
        <v>1.9525462962962981E-2</v>
      </c>
      <c r="D164" s="2">
        <f t="shared" si="2"/>
        <v>28.116666666666692</v>
      </c>
    </row>
    <row r="165" spans="1:4" x14ac:dyDescent="0.25">
      <c r="A165" s="1" t="s">
        <v>34</v>
      </c>
      <c r="B165" s="1">
        <v>2.4178240740740709E-2</v>
      </c>
      <c r="D165" s="2">
        <f t="shared" si="2"/>
        <v>34.81666666666662</v>
      </c>
    </row>
    <row r="166" spans="1:4" x14ac:dyDescent="0.25">
      <c r="A166" s="1" t="s">
        <v>34</v>
      </c>
      <c r="B166" s="1">
        <v>2.1307870370370408E-2</v>
      </c>
      <c r="D166" s="2">
        <f t="shared" si="2"/>
        <v>30.683333333333387</v>
      </c>
    </row>
    <row r="167" spans="1:4" x14ac:dyDescent="0.25">
      <c r="A167" s="1" t="s">
        <v>34</v>
      </c>
      <c r="B167" s="1">
        <v>1.8912037037037033E-2</v>
      </c>
      <c r="D167" s="2">
        <f t="shared" si="2"/>
        <v>27.233333333333327</v>
      </c>
    </row>
    <row r="168" spans="1:4" x14ac:dyDescent="0.25">
      <c r="A168" s="1" t="s">
        <v>34</v>
      </c>
      <c r="B168" s="1">
        <v>1.7916666666666581E-2</v>
      </c>
      <c r="D168" s="2">
        <f t="shared" si="2"/>
        <v>25.799999999999876</v>
      </c>
    </row>
    <row r="169" spans="1:4" x14ac:dyDescent="0.25">
      <c r="A169" s="1" t="s">
        <v>34</v>
      </c>
      <c r="B169" s="1">
        <v>2.04050925925926E-2</v>
      </c>
      <c r="D169" s="2">
        <f t="shared" si="2"/>
        <v>29.383333333333344</v>
      </c>
    </row>
    <row r="170" spans="1:4" x14ac:dyDescent="0.25">
      <c r="A170" s="1" t="s">
        <v>34</v>
      </c>
      <c r="B170" s="1">
        <v>2.6493055555555589E-2</v>
      </c>
      <c r="D170" s="2">
        <f t="shared" si="2"/>
        <v>38.150000000000048</v>
      </c>
    </row>
    <row r="171" spans="1:4" x14ac:dyDescent="0.25">
      <c r="A171" s="1" t="s">
        <v>34</v>
      </c>
      <c r="B171" s="1">
        <v>1.273148148148151E-2</v>
      </c>
      <c r="D171" s="2">
        <f t="shared" si="2"/>
        <v>18.333333333333375</v>
      </c>
    </row>
    <row r="172" spans="1:4" x14ac:dyDescent="0.25">
      <c r="A172" s="1" t="s">
        <v>690</v>
      </c>
      <c r="B172" s="1">
        <v>3.3449074074074048E-2</v>
      </c>
      <c r="D172" s="2">
        <f t="shared" si="2"/>
        <v>48.166666666666629</v>
      </c>
    </row>
    <row r="173" spans="1:4" x14ac:dyDescent="0.25">
      <c r="A173" s="1" t="s">
        <v>690</v>
      </c>
      <c r="B173" s="1">
        <v>4.2175925925926006E-2</v>
      </c>
      <c r="D173" s="2">
        <f t="shared" si="2"/>
        <v>60.733333333333448</v>
      </c>
    </row>
    <row r="174" spans="1:4" x14ac:dyDescent="0.25">
      <c r="A174" s="1" t="s">
        <v>36</v>
      </c>
      <c r="B174" s="1">
        <v>3.0995370370370368E-2</v>
      </c>
      <c r="D174" s="2">
        <f t="shared" si="2"/>
        <v>44.633333333333326</v>
      </c>
    </row>
    <row r="175" spans="1:4" x14ac:dyDescent="0.25">
      <c r="A175" s="1" t="s">
        <v>690</v>
      </c>
      <c r="B175" s="1">
        <v>3.1643518518518432E-2</v>
      </c>
      <c r="D175" s="2">
        <f t="shared" si="2"/>
        <v>45.566666666666542</v>
      </c>
    </row>
    <row r="176" spans="1:4" x14ac:dyDescent="0.25">
      <c r="A176" s="1" t="s">
        <v>36</v>
      </c>
      <c r="B176" s="1">
        <v>2.4247685185185164E-2</v>
      </c>
      <c r="D176" s="2">
        <f t="shared" si="2"/>
        <v>34.916666666666636</v>
      </c>
    </row>
    <row r="177" spans="1:4" x14ac:dyDescent="0.25">
      <c r="A177" s="1" t="s">
        <v>36</v>
      </c>
      <c r="B177" s="1">
        <v>1.3865740740740762E-2</v>
      </c>
      <c r="D177" s="2">
        <f t="shared" si="2"/>
        <v>19.966666666666697</v>
      </c>
    </row>
    <row r="178" spans="1:4" x14ac:dyDescent="0.25">
      <c r="A178" s="1" t="s">
        <v>36</v>
      </c>
      <c r="B178" s="1">
        <v>2.4606481481481479E-2</v>
      </c>
      <c r="D178" s="2">
        <f t="shared" si="2"/>
        <v>35.43333333333333</v>
      </c>
    </row>
    <row r="179" spans="1:4" x14ac:dyDescent="0.25">
      <c r="A179" s="1" t="s">
        <v>36</v>
      </c>
      <c r="B179" s="1">
        <v>1.7835648148148198E-2</v>
      </c>
      <c r="D179" s="2">
        <f t="shared" si="2"/>
        <v>25.683333333333405</v>
      </c>
    </row>
    <row r="180" spans="1:4" x14ac:dyDescent="0.25">
      <c r="A180" s="1" t="s">
        <v>36</v>
      </c>
      <c r="B180" s="1">
        <v>2.0844907407407409E-2</v>
      </c>
      <c r="D180" s="2">
        <f t="shared" si="2"/>
        <v>30.016666666666669</v>
      </c>
    </row>
    <row r="181" spans="1:4" x14ac:dyDescent="0.25">
      <c r="A181" s="1" t="s">
        <v>36</v>
      </c>
      <c r="B181" s="1">
        <v>1.5416666666666634E-2</v>
      </c>
      <c r="D181" s="2">
        <f t="shared" si="2"/>
        <v>22.199999999999953</v>
      </c>
    </row>
    <row r="182" spans="1:4" x14ac:dyDescent="0.25">
      <c r="A182" s="1" t="s">
        <v>36</v>
      </c>
      <c r="B182" s="1">
        <v>2.0949074074074092E-2</v>
      </c>
      <c r="D182" s="2">
        <f t="shared" si="2"/>
        <v>30.166666666666693</v>
      </c>
    </row>
    <row r="183" spans="1:4" x14ac:dyDescent="0.25">
      <c r="A183" s="1" t="s">
        <v>36</v>
      </c>
      <c r="B183" s="1">
        <v>1.1516203703703654E-2</v>
      </c>
      <c r="D183" s="2">
        <f t="shared" si="2"/>
        <v>16.583333333333261</v>
      </c>
    </row>
    <row r="184" spans="1:4" x14ac:dyDescent="0.25">
      <c r="A184" s="1" t="s">
        <v>36</v>
      </c>
      <c r="B184" s="1">
        <v>1.2280092592592551E-2</v>
      </c>
      <c r="D184" s="2">
        <f t="shared" si="2"/>
        <v>17.683333333333273</v>
      </c>
    </row>
    <row r="185" spans="1:4" x14ac:dyDescent="0.25">
      <c r="A185" s="1" t="s">
        <v>36</v>
      </c>
      <c r="B185" s="1">
        <v>2.4513888888888946E-2</v>
      </c>
      <c r="D185" s="2">
        <f t="shared" si="2"/>
        <v>35.300000000000082</v>
      </c>
    </row>
    <row r="186" spans="1:4" x14ac:dyDescent="0.25">
      <c r="A186" s="1" t="s">
        <v>36</v>
      </c>
      <c r="B186" s="1">
        <v>2.561342592592597E-2</v>
      </c>
      <c r="D186" s="2">
        <f t="shared" si="2"/>
        <v>36.883333333333397</v>
      </c>
    </row>
    <row r="187" spans="1:4" x14ac:dyDescent="0.25">
      <c r="A187" s="1" t="s">
        <v>36</v>
      </c>
      <c r="B187" s="1">
        <v>1.9016203703703716E-2</v>
      </c>
      <c r="D187" s="2">
        <f t="shared" si="2"/>
        <v>27.383333333333351</v>
      </c>
    </row>
    <row r="188" spans="1:4" x14ac:dyDescent="0.25">
      <c r="A188" s="1" t="s">
        <v>36</v>
      </c>
      <c r="B188" s="1">
        <v>2.4328703703703769E-2</v>
      </c>
      <c r="D188" s="2">
        <f t="shared" si="2"/>
        <v>35.033333333333431</v>
      </c>
    </row>
    <row r="189" spans="1:4" x14ac:dyDescent="0.25">
      <c r="A189" s="1" t="s">
        <v>36</v>
      </c>
      <c r="B189" s="1">
        <v>3.5162037037037019E-2</v>
      </c>
      <c r="D189" s="2">
        <f t="shared" si="2"/>
        <v>50.633333333333312</v>
      </c>
    </row>
    <row r="190" spans="1:4" x14ac:dyDescent="0.25">
      <c r="A190" s="1" t="s">
        <v>36</v>
      </c>
      <c r="B190" s="1">
        <v>2.3912037037037037E-2</v>
      </c>
      <c r="D190" s="2">
        <f t="shared" si="2"/>
        <v>34.433333333333337</v>
      </c>
    </row>
    <row r="191" spans="1:4" x14ac:dyDescent="0.25">
      <c r="A191" s="1" t="s">
        <v>36</v>
      </c>
      <c r="B191" s="1">
        <v>1.649305555555558E-2</v>
      </c>
      <c r="D191" s="2">
        <f t="shared" si="2"/>
        <v>23.750000000000036</v>
      </c>
    </row>
    <row r="192" spans="1:4" x14ac:dyDescent="0.25">
      <c r="A192" s="1" t="s">
        <v>36</v>
      </c>
      <c r="B192" s="1">
        <v>1.8900462962962938E-2</v>
      </c>
      <c r="D192" s="2">
        <f t="shared" si="2"/>
        <v>27.216666666666633</v>
      </c>
    </row>
    <row r="193" spans="1:4" x14ac:dyDescent="0.25">
      <c r="A193" s="1" t="s">
        <v>36</v>
      </c>
      <c r="B193" s="1">
        <v>4.4988425925925946E-2</v>
      </c>
      <c r="D193" s="2">
        <f t="shared" si="2"/>
        <v>64.78333333333336</v>
      </c>
    </row>
    <row r="194" spans="1:4" x14ac:dyDescent="0.25">
      <c r="A194" s="1" t="s">
        <v>36</v>
      </c>
      <c r="B194" s="1">
        <v>8.6111111111111249E-3</v>
      </c>
      <c r="D194" s="2">
        <f t="shared" si="2"/>
        <v>12.40000000000002</v>
      </c>
    </row>
    <row r="195" spans="1:4" x14ac:dyDescent="0.25">
      <c r="A195" s="1" t="s">
        <v>36</v>
      </c>
      <c r="B195" s="1">
        <v>2.4363425925925886E-2</v>
      </c>
      <c r="D195" s="2">
        <f t="shared" ref="D195:D206" si="3">B195*1440</f>
        <v>35.083333333333272</v>
      </c>
    </row>
    <row r="196" spans="1:4" x14ac:dyDescent="0.25">
      <c r="A196" s="1" t="s">
        <v>36</v>
      </c>
      <c r="B196" s="1">
        <v>1.7476851851851882E-2</v>
      </c>
      <c r="D196" s="2">
        <f t="shared" si="3"/>
        <v>25.16666666666671</v>
      </c>
    </row>
    <row r="197" spans="1:4" x14ac:dyDescent="0.25">
      <c r="A197" s="1" t="s">
        <v>36</v>
      </c>
      <c r="B197" s="1">
        <v>1.8541666666666679E-2</v>
      </c>
      <c r="D197" s="2">
        <f t="shared" si="3"/>
        <v>26.700000000000017</v>
      </c>
    </row>
    <row r="198" spans="1:4" x14ac:dyDescent="0.25">
      <c r="A198" s="1" t="s">
        <v>36</v>
      </c>
      <c r="B198" s="1">
        <v>2.8090277777777839E-2</v>
      </c>
      <c r="D198" s="2">
        <f t="shared" si="3"/>
        <v>40.450000000000088</v>
      </c>
    </row>
    <row r="199" spans="1:4" x14ac:dyDescent="0.25">
      <c r="A199" s="1" t="s">
        <v>36</v>
      </c>
      <c r="B199" s="1">
        <v>1.0358796296296324E-2</v>
      </c>
      <c r="D199" s="2">
        <f t="shared" si="3"/>
        <v>14.916666666666707</v>
      </c>
    </row>
    <row r="200" spans="1:4" x14ac:dyDescent="0.25">
      <c r="A200" s="1" t="s">
        <v>36</v>
      </c>
      <c r="B200" s="1">
        <v>1.503472222222213E-2</v>
      </c>
      <c r="D200" s="2">
        <f t="shared" si="3"/>
        <v>21.649999999999867</v>
      </c>
    </row>
    <row r="201" spans="1:4" x14ac:dyDescent="0.25">
      <c r="A201" s="1" t="s">
        <v>36</v>
      </c>
      <c r="B201" s="1">
        <v>1.2314814814814889E-2</v>
      </c>
      <c r="D201" s="2">
        <f t="shared" si="3"/>
        <v>17.733333333333441</v>
      </c>
    </row>
    <row r="202" spans="1:4" x14ac:dyDescent="0.25">
      <c r="A202" s="1" t="s">
        <v>36</v>
      </c>
      <c r="B202" s="1">
        <v>3.0555555555555558E-2</v>
      </c>
      <c r="D202" s="2">
        <f t="shared" si="3"/>
        <v>44</v>
      </c>
    </row>
    <row r="203" spans="1:4" x14ac:dyDescent="0.25">
      <c r="A203" s="1" t="s">
        <v>36</v>
      </c>
      <c r="B203" s="1">
        <v>3.2175925925925886E-2</v>
      </c>
      <c r="D203" s="2">
        <f t="shared" si="3"/>
        <v>46.333333333333272</v>
      </c>
    </row>
    <row r="204" spans="1:4" x14ac:dyDescent="0.25">
      <c r="A204" s="1" t="s">
        <v>36</v>
      </c>
      <c r="B204" s="1">
        <v>1.8356481481481501E-2</v>
      </c>
      <c r="D204" s="2">
        <f t="shared" si="3"/>
        <v>26.433333333333362</v>
      </c>
    </row>
    <row r="205" spans="1:4" x14ac:dyDescent="0.25">
      <c r="A205" s="1" t="s">
        <v>36</v>
      </c>
      <c r="B205" s="1">
        <v>1.2893518518518499E-2</v>
      </c>
      <c r="D205" s="2">
        <f t="shared" si="3"/>
        <v>18.566666666666638</v>
      </c>
    </row>
    <row r="206" spans="1:4" x14ac:dyDescent="0.25">
      <c r="A206" s="1" t="s">
        <v>36</v>
      </c>
      <c r="B206" s="1">
        <v>1.4224537037036966E-2</v>
      </c>
      <c r="D206" s="2">
        <f t="shared" si="3"/>
        <v>20.483333333333231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FEC81-8A0B-4AC1-93FA-29D342F2D93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99380-172E-46AA-B1E7-BFE508C4EA45}">
  <dimension ref="A1:Z140"/>
  <sheetViews>
    <sheetView workbookViewId="0">
      <selection sqref="A1:Z14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43</v>
      </c>
      <c r="N1" s="1" t="s">
        <v>44</v>
      </c>
      <c r="O1" s="1" t="s">
        <v>45</v>
      </c>
      <c r="P1" s="1" t="s">
        <v>46</v>
      </c>
      <c r="S1" s="1" t="s">
        <v>539</v>
      </c>
      <c r="T1" s="1" t="s">
        <v>540</v>
      </c>
      <c r="U1" s="1" t="s">
        <v>538</v>
      </c>
      <c r="V1" s="1" t="s">
        <v>541</v>
      </c>
      <c r="W1" s="1" t="s">
        <v>544</v>
      </c>
      <c r="X1" s="1" t="s">
        <v>542</v>
      </c>
      <c r="Y1" s="1" t="s">
        <v>545</v>
      </c>
      <c r="Z1" s="1" t="s">
        <v>543</v>
      </c>
    </row>
    <row r="2" spans="1:26" x14ac:dyDescent="0.25">
      <c r="A2">
        <v>2</v>
      </c>
      <c r="B2" t="s">
        <v>8</v>
      </c>
      <c r="C2" t="s">
        <v>17</v>
      </c>
      <c r="D2">
        <v>2016</v>
      </c>
      <c r="E2" s="1">
        <v>0.59635416666666663</v>
      </c>
      <c r="F2" s="1" t="s">
        <v>47</v>
      </c>
      <c r="G2" s="1">
        <v>0.59751157407407407</v>
      </c>
      <c r="H2" s="1" t="s">
        <v>49</v>
      </c>
      <c r="I2" s="1" t="s">
        <v>48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33</v>
      </c>
      <c r="P2" s="1" t="s">
        <v>55</v>
      </c>
      <c r="S2" s="1">
        <v>2.8935185185186008E-4</v>
      </c>
      <c r="T2" s="1">
        <v>8.6805555555558023E-4</v>
      </c>
      <c r="U2" s="1">
        <v>1.4467592592593004E-3</v>
      </c>
      <c r="V2" s="1">
        <v>3.8194444444444864E-3</v>
      </c>
      <c r="W2" s="1">
        <v>1.6203703703703276E-3</v>
      </c>
      <c r="X2" s="1">
        <v>6.6550925925925597E-3</v>
      </c>
      <c r="Y2" s="1">
        <v>8.5995370370370861E-3</v>
      </c>
      <c r="Z2" s="1">
        <v>1.0115740740740731E-2</v>
      </c>
    </row>
    <row r="3" spans="1:26" x14ac:dyDescent="0.25">
      <c r="A3">
        <v>4</v>
      </c>
      <c r="B3" t="s">
        <v>56</v>
      </c>
      <c r="C3" t="s">
        <v>37</v>
      </c>
      <c r="D3">
        <v>2006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33</v>
      </c>
      <c r="P3" s="1" t="s">
        <v>55</v>
      </c>
      <c r="S3" s="1">
        <v>1.7361111111113825E-4</v>
      </c>
      <c r="T3" s="1">
        <v>1.388888888888884E-3</v>
      </c>
      <c r="U3" s="1">
        <v>1.0532407407407574E-3</v>
      </c>
      <c r="V3" s="1">
        <v>2.1527777777777812E-3</v>
      </c>
      <c r="W3" s="1">
        <v>2.6851851851851238E-3</v>
      </c>
      <c r="X3" s="1">
        <v>8.8310185185185297E-3</v>
      </c>
      <c r="Y3" s="1">
        <v>1.0208333333333264E-2</v>
      </c>
      <c r="Z3" s="1">
        <v>1.2928240740740726E-2</v>
      </c>
    </row>
    <row r="4" spans="1:26" x14ac:dyDescent="0.25">
      <c r="A4">
        <v>2</v>
      </c>
      <c r="B4" t="s">
        <v>9</v>
      </c>
      <c r="C4" t="s">
        <v>18</v>
      </c>
      <c r="D4">
        <v>2017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1" t="s">
        <v>73</v>
      </c>
      <c r="L4" s="1" t="s">
        <v>74</v>
      </c>
      <c r="M4" s="1" t="s">
        <v>75</v>
      </c>
      <c r="N4" s="1" t="s">
        <v>54</v>
      </c>
      <c r="O4" s="1" t="s">
        <v>34</v>
      </c>
      <c r="P4" s="1" t="s">
        <v>55</v>
      </c>
      <c r="S4" s="1">
        <v>2.777777777778212E-4</v>
      </c>
      <c r="T4" s="1">
        <v>2.1064814814814037E-3</v>
      </c>
      <c r="U4" s="1">
        <v>1.0185185185185297E-3</v>
      </c>
      <c r="V4" s="1">
        <v>2.5925925925927018E-3</v>
      </c>
      <c r="W4" s="1">
        <v>5.8680555555554736E-3</v>
      </c>
      <c r="X4" s="1">
        <v>1.215277777777779E-2</v>
      </c>
      <c r="Y4" s="1">
        <v>1.4583333333333393E-2</v>
      </c>
      <c r="Z4" s="1">
        <v>1.8125000000000058E-2</v>
      </c>
    </row>
    <row r="5" spans="1:26" x14ac:dyDescent="0.25">
      <c r="A5">
        <v>1</v>
      </c>
      <c r="B5" t="s">
        <v>76</v>
      </c>
      <c r="C5" t="s">
        <v>19</v>
      </c>
      <c r="D5">
        <v>2020</v>
      </c>
      <c r="E5" s="1">
        <v>0.60671296296296295</v>
      </c>
      <c r="F5" s="1">
        <v>0.60689814814814813</v>
      </c>
      <c r="G5" s="1" t="s">
        <v>77</v>
      </c>
      <c r="H5" s="1" t="s">
        <v>78</v>
      </c>
      <c r="I5" s="1" t="s">
        <v>79</v>
      </c>
      <c r="J5" s="1" t="s">
        <v>80</v>
      </c>
      <c r="K5" s="1" t="s">
        <v>81</v>
      </c>
      <c r="L5" s="1" t="s">
        <v>82</v>
      </c>
      <c r="M5" s="1" t="s">
        <v>83</v>
      </c>
      <c r="N5" s="1" t="s">
        <v>84</v>
      </c>
      <c r="O5" s="1" t="s">
        <v>35</v>
      </c>
      <c r="P5" s="1" t="s">
        <v>55</v>
      </c>
      <c r="S5" s="1">
        <v>1.8518518518517713E-4</v>
      </c>
      <c r="T5" s="1">
        <v>1.4583333333333393E-3</v>
      </c>
      <c r="U5" s="1">
        <v>7.2916666666666963E-4</v>
      </c>
      <c r="V5" s="1">
        <v>3.3564814814814881E-3</v>
      </c>
      <c r="W5" s="1">
        <v>3.2754629629629939E-3</v>
      </c>
      <c r="X5" s="1">
        <v>1.6608796296296302E-2</v>
      </c>
      <c r="Y5" s="1">
        <v>3.1354166666666683E-2</v>
      </c>
      <c r="Z5" s="1">
        <v>3.3449074074074048E-2</v>
      </c>
    </row>
    <row r="6" spans="1:26" x14ac:dyDescent="0.25">
      <c r="A6">
        <v>4</v>
      </c>
      <c r="B6" t="s">
        <v>76</v>
      </c>
      <c r="C6" t="s">
        <v>20</v>
      </c>
      <c r="D6">
        <v>2004</v>
      </c>
      <c r="E6" s="1" t="s">
        <v>85</v>
      </c>
      <c r="F6" s="1" t="s">
        <v>86</v>
      </c>
      <c r="G6" s="1" t="s">
        <v>87</v>
      </c>
      <c r="H6" s="1" t="s">
        <v>88</v>
      </c>
      <c r="I6" s="1" t="s">
        <v>89</v>
      </c>
      <c r="J6" s="1" t="s">
        <v>90</v>
      </c>
      <c r="K6" s="1" t="s">
        <v>91</v>
      </c>
      <c r="L6" s="1" t="s">
        <v>92</v>
      </c>
      <c r="M6" s="1" t="s">
        <v>93</v>
      </c>
      <c r="N6" s="1" t="s">
        <v>94</v>
      </c>
      <c r="O6" s="1" t="s">
        <v>35</v>
      </c>
      <c r="P6" s="1" t="s">
        <v>55</v>
      </c>
      <c r="S6" s="1">
        <v>1.6203703703709937E-4</v>
      </c>
      <c r="T6" s="1">
        <v>6.5393518518518379E-3</v>
      </c>
      <c r="U6" s="1">
        <v>1.0995370370370239E-3</v>
      </c>
      <c r="V6" s="1">
        <v>3.0439814814814392E-3</v>
      </c>
      <c r="W6" s="1">
        <v>4.0740740740741188E-3</v>
      </c>
      <c r="X6" s="1">
        <v>3.1574074074074088E-2</v>
      </c>
      <c r="Y6" s="1">
        <v>3.3078703703703694E-2</v>
      </c>
      <c r="Z6" s="1">
        <v>4.2175925925926006E-2</v>
      </c>
    </row>
    <row r="7" spans="1:26" x14ac:dyDescent="0.25">
      <c r="A7">
        <v>3</v>
      </c>
      <c r="B7" t="s">
        <v>76</v>
      </c>
      <c r="C7" t="s">
        <v>21</v>
      </c>
      <c r="D7">
        <v>2011</v>
      </c>
      <c r="E7" s="1" t="s">
        <v>95</v>
      </c>
      <c r="F7" s="1" t="s">
        <v>96</v>
      </c>
      <c r="G7" s="1" t="s">
        <v>97</v>
      </c>
      <c r="H7" s="1" t="s">
        <v>98</v>
      </c>
      <c r="I7" s="1" t="s">
        <v>99</v>
      </c>
      <c r="J7" s="1" t="s">
        <v>100</v>
      </c>
      <c r="K7" s="1" t="s">
        <v>101</v>
      </c>
      <c r="L7" s="1" t="s">
        <v>102</v>
      </c>
      <c r="M7" s="1" t="s">
        <v>103</v>
      </c>
      <c r="N7" s="1" t="s">
        <v>54</v>
      </c>
      <c r="O7" s="1" t="s">
        <v>36</v>
      </c>
      <c r="P7" s="1" t="s">
        <v>55</v>
      </c>
      <c r="S7" s="1">
        <v>4.2824074074065965E-4</v>
      </c>
      <c r="T7" s="1">
        <v>1.5000000000000013E-2</v>
      </c>
      <c r="U7" s="1">
        <v>1.4351851851851505E-3</v>
      </c>
      <c r="V7" s="1">
        <v>3.2060185185185386E-3</v>
      </c>
      <c r="W7" s="1">
        <v>3.6226851851851594E-3</v>
      </c>
      <c r="X7" s="1">
        <v>1.1354166666666665E-2</v>
      </c>
      <c r="Y7" s="1">
        <v>1.446759259259256E-2</v>
      </c>
      <c r="Z7" s="1">
        <v>3.0995370370370368E-2</v>
      </c>
    </row>
    <row r="8" spans="1:26" x14ac:dyDescent="0.25">
      <c r="A8">
        <v>2</v>
      </c>
      <c r="B8" t="s">
        <v>8</v>
      </c>
      <c r="C8" t="s">
        <v>22</v>
      </c>
      <c r="D8">
        <v>2017</v>
      </c>
      <c r="E8" s="1" t="s">
        <v>104</v>
      </c>
      <c r="F8" s="1" t="s">
        <v>105</v>
      </c>
      <c r="G8" s="1" t="s">
        <v>106</v>
      </c>
      <c r="H8" s="1" t="s">
        <v>107</v>
      </c>
      <c r="I8" s="1" t="s">
        <v>108</v>
      </c>
      <c r="J8" s="1" t="s">
        <v>109</v>
      </c>
      <c r="K8" s="1" t="s">
        <v>110</v>
      </c>
      <c r="L8" s="1" t="s">
        <v>111</v>
      </c>
      <c r="M8" s="1" t="s">
        <v>112</v>
      </c>
      <c r="N8" s="1" t="s">
        <v>113</v>
      </c>
      <c r="O8" s="1" t="s">
        <v>33</v>
      </c>
      <c r="P8" s="1" t="s">
        <v>55</v>
      </c>
      <c r="S8" s="1">
        <v>4.5138888888884843E-4</v>
      </c>
      <c r="T8" s="1">
        <v>1.7268518518518516E-2</v>
      </c>
      <c r="U8" s="1">
        <v>7.2916666666666963E-4</v>
      </c>
      <c r="V8" s="1">
        <v>3.1365740740740833E-3</v>
      </c>
      <c r="W8" s="1">
        <v>1.1805555555555181E-3</v>
      </c>
      <c r="X8" s="1">
        <v>1.186342592592593E-2</v>
      </c>
      <c r="Y8" s="1">
        <v>1.3101851851851865E-2</v>
      </c>
      <c r="Z8" s="1">
        <v>3.1296296296296267E-2</v>
      </c>
    </row>
    <row r="9" spans="1:26" x14ac:dyDescent="0.25">
      <c r="A9">
        <v>1</v>
      </c>
      <c r="B9" t="s">
        <v>76</v>
      </c>
      <c r="C9" t="s">
        <v>23</v>
      </c>
      <c r="D9">
        <v>2019</v>
      </c>
      <c r="E9" s="1" t="s">
        <v>114</v>
      </c>
      <c r="F9" s="1" t="s">
        <v>115</v>
      </c>
      <c r="G9" s="1" t="s">
        <v>116</v>
      </c>
      <c r="H9" s="1" t="s">
        <v>117</v>
      </c>
      <c r="I9" s="1" t="s">
        <v>118</v>
      </c>
      <c r="J9" s="1" t="s">
        <v>119</v>
      </c>
      <c r="K9" s="1" t="s">
        <v>120</v>
      </c>
      <c r="L9" s="1" t="s">
        <v>121</v>
      </c>
      <c r="M9" s="1" t="s">
        <v>122</v>
      </c>
      <c r="N9" s="1" t="s">
        <v>123</v>
      </c>
      <c r="O9" s="1" t="s">
        <v>34</v>
      </c>
      <c r="P9" s="1" t="s">
        <v>55</v>
      </c>
      <c r="S9" s="1">
        <v>4.3981481481480955E-4</v>
      </c>
      <c r="T9" s="1">
        <v>1.0474537037037046E-2</v>
      </c>
      <c r="U9" s="1">
        <v>8.9120370370365798E-4</v>
      </c>
      <c r="V9" s="1">
        <v>3.4722222222222099E-3</v>
      </c>
      <c r="W9" s="1">
        <v>1.4583333333333393E-3</v>
      </c>
      <c r="X9" s="1">
        <v>2.1967592592592622E-2</v>
      </c>
      <c r="Y9" s="1">
        <v>2.5590277777777781E-2</v>
      </c>
      <c r="Z9" s="1">
        <v>3.7534722222222205E-2</v>
      </c>
    </row>
    <row r="10" spans="1:26" x14ac:dyDescent="0.25">
      <c r="A10">
        <v>2</v>
      </c>
      <c r="B10" t="s">
        <v>10</v>
      </c>
      <c r="C10" t="s">
        <v>124</v>
      </c>
      <c r="D10">
        <v>2002</v>
      </c>
      <c r="E10" s="1" t="s">
        <v>125</v>
      </c>
      <c r="F10" s="1" t="s">
        <v>126</v>
      </c>
      <c r="G10" s="1" t="s">
        <v>127</v>
      </c>
      <c r="H10" s="1" t="s">
        <v>128</v>
      </c>
      <c r="I10" s="1" t="s">
        <v>129</v>
      </c>
      <c r="J10" s="1" t="s">
        <v>130</v>
      </c>
      <c r="K10" s="1" t="s">
        <v>131</v>
      </c>
      <c r="L10" s="1" t="s">
        <v>132</v>
      </c>
      <c r="M10" s="1" t="s">
        <v>133</v>
      </c>
      <c r="N10" s="1" t="s">
        <v>54</v>
      </c>
      <c r="O10" s="1" t="s">
        <v>35</v>
      </c>
      <c r="P10" s="1" t="s">
        <v>55</v>
      </c>
      <c r="S10" s="1">
        <v>2.662037037036713E-4</v>
      </c>
      <c r="T10" s="1">
        <v>9.3865740740740611E-3</v>
      </c>
      <c r="U10" s="1">
        <v>1.2731481481481621E-3</v>
      </c>
      <c r="V10" s="1">
        <v>3.8657407407407529E-3</v>
      </c>
      <c r="W10" s="1">
        <v>1.8518518518518823E-3</v>
      </c>
      <c r="X10" s="1">
        <v>1.9560185185185208E-2</v>
      </c>
      <c r="Y10" s="1">
        <v>2.1412037037036979E-2</v>
      </c>
      <c r="Z10" s="1">
        <v>3.1643518518518432E-2</v>
      </c>
    </row>
    <row r="11" spans="1:26" x14ac:dyDescent="0.25">
      <c r="A11">
        <v>3</v>
      </c>
      <c r="B11" t="s">
        <v>8</v>
      </c>
      <c r="C11" t="s">
        <v>24</v>
      </c>
      <c r="D11">
        <v>2016</v>
      </c>
      <c r="E11" s="1" t="s">
        <v>110</v>
      </c>
      <c r="F11" s="1" t="s">
        <v>134</v>
      </c>
      <c r="G11" s="1" t="s">
        <v>135</v>
      </c>
      <c r="H11" s="1" t="s">
        <v>136</v>
      </c>
      <c r="I11" s="1" t="s">
        <v>137</v>
      </c>
      <c r="J11" s="1" t="s">
        <v>138</v>
      </c>
      <c r="K11" s="1" t="s">
        <v>139</v>
      </c>
      <c r="L11" s="1" t="s">
        <v>140</v>
      </c>
      <c r="M11" s="1" t="s">
        <v>141</v>
      </c>
      <c r="N11" s="1" t="s">
        <v>142</v>
      </c>
      <c r="O11" s="1" t="s">
        <v>34</v>
      </c>
      <c r="P11" s="1" t="s">
        <v>55</v>
      </c>
      <c r="S11" s="1">
        <v>2.8935185185186008E-4</v>
      </c>
      <c r="T11" s="1">
        <v>1.0810185185185173E-2</v>
      </c>
      <c r="U11" s="1">
        <v>1.2499999999999734E-3</v>
      </c>
      <c r="V11" s="1">
        <v>3.2523148148148051E-3</v>
      </c>
      <c r="W11" s="1">
        <v>2.7314814814815014E-3</v>
      </c>
      <c r="X11" s="1">
        <v>7.0138888888889861E-3</v>
      </c>
      <c r="Y11" s="1">
        <v>1.5821759259259327E-2</v>
      </c>
      <c r="Z11" s="1">
        <v>2.7870370370370434E-2</v>
      </c>
    </row>
    <row r="12" spans="1:26" x14ac:dyDescent="0.25">
      <c r="A12">
        <v>1</v>
      </c>
      <c r="B12" t="s">
        <v>56</v>
      </c>
      <c r="C12" t="s">
        <v>25</v>
      </c>
      <c r="D12">
        <v>2018</v>
      </c>
      <c r="E12" s="1" t="s">
        <v>143</v>
      </c>
      <c r="F12" s="1" t="s">
        <v>144</v>
      </c>
      <c r="G12" s="1" t="s">
        <v>145</v>
      </c>
      <c r="H12" s="1" t="s">
        <v>146</v>
      </c>
      <c r="I12" s="1" t="s">
        <v>147</v>
      </c>
      <c r="J12" s="1">
        <v>0.6716550925925926</v>
      </c>
      <c r="K12" s="1">
        <v>0.67631944444444447</v>
      </c>
      <c r="L12" s="1">
        <v>0.67679398148148151</v>
      </c>
      <c r="M12" s="1">
        <v>0.73290509259259262</v>
      </c>
      <c r="N12" s="1" t="s">
        <v>54</v>
      </c>
      <c r="O12" s="1" t="s">
        <v>34</v>
      </c>
      <c r="P12" s="1" t="s">
        <v>55</v>
      </c>
      <c r="S12" s="1">
        <v>6.3657407407402555E-4</v>
      </c>
      <c r="T12" s="1">
        <v>1.5995370370370354E-2</v>
      </c>
      <c r="U12" s="1">
        <v>7.7546296296304718E-4</v>
      </c>
      <c r="V12" s="1">
        <v>3.3449074074074492E-3</v>
      </c>
      <c r="W12" s="1">
        <v>0</v>
      </c>
      <c r="X12" s="1">
        <v>7.2337962962962798E-3</v>
      </c>
      <c r="Y12" s="1">
        <v>8.4837962962963642E-3</v>
      </c>
      <c r="Z12" s="1">
        <v>8.1226851851851856E-2</v>
      </c>
    </row>
    <row r="13" spans="1:26" x14ac:dyDescent="0.25">
      <c r="A13">
        <v>2</v>
      </c>
      <c r="B13" t="s">
        <v>11</v>
      </c>
      <c r="C13" t="s">
        <v>148</v>
      </c>
      <c r="D13">
        <v>2014</v>
      </c>
      <c r="E13" s="1" t="s">
        <v>149</v>
      </c>
      <c r="F13" s="1" t="s">
        <v>150</v>
      </c>
      <c r="G13" s="1" t="s">
        <v>151</v>
      </c>
      <c r="H13" s="1" t="s">
        <v>152</v>
      </c>
      <c r="I13" s="1" t="s">
        <v>153</v>
      </c>
      <c r="J13" s="1" t="s">
        <v>154</v>
      </c>
      <c r="K13" s="1" t="s">
        <v>155</v>
      </c>
      <c r="L13" s="1" t="s">
        <v>156</v>
      </c>
      <c r="M13" s="1" t="s">
        <v>157</v>
      </c>
      <c r="N13" s="1" t="s">
        <v>158</v>
      </c>
      <c r="O13" s="1" t="s">
        <v>34</v>
      </c>
      <c r="P13" s="1" t="s">
        <v>55</v>
      </c>
      <c r="S13" s="1">
        <v>2.3148148148155467E-4</v>
      </c>
      <c r="T13" s="1">
        <v>8.9583333333332904E-3</v>
      </c>
      <c r="U13" s="1">
        <v>1.5740740740740611E-3</v>
      </c>
      <c r="V13" s="1">
        <v>4.8148148148148273E-3</v>
      </c>
      <c r="W13" s="1">
        <v>2.3148148148147696E-3</v>
      </c>
      <c r="X13" s="1">
        <v>1.0624999999999996E-2</v>
      </c>
      <c r="Y13" s="1">
        <v>1.2581018518518561E-2</v>
      </c>
      <c r="Z13" s="1">
        <v>2.2569444444444531E-2</v>
      </c>
    </row>
    <row r="14" spans="1:26" x14ac:dyDescent="0.25">
      <c r="A14">
        <v>1</v>
      </c>
      <c r="B14" t="s">
        <v>8</v>
      </c>
      <c r="C14" t="s">
        <v>31</v>
      </c>
      <c r="D14">
        <v>2012</v>
      </c>
      <c r="E14" s="1" t="s">
        <v>209</v>
      </c>
      <c r="F14" s="1" t="s">
        <v>210</v>
      </c>
      <c r="G14" s="1" t="s">
        <v>211</v>
      </c>
      <c r="H14" s="1" t="s">
        <v>212</v>
      </c>
      <c r="I14" s="1" t="s">
        <v>213</v>
      </c>
      <c r="J14" s="1" t="s">
        <v>214</v>
      </c>
      <c r="K14" s="1" t="s">
        <v>215</v>
      </c>
      <c r="L14" s="1" t="s">
        <v>216</v>
      </c>
      <c r="M14" s="1" t="s">
        <v>217</v>
      </c>
      <c r="N14" s="1" t="s">
        <v>218</v>
      </c>
      <c r="O14" s="1" t="s">
        <v>33</v>
      </c>
      <c r="P14" s="1" t="s">
        <v>55</v>
      </c>
      <c r="S14" s="1">
        <v>4.745370370370372E-4</v>
      </c>
      <c r="T14" s="1">
        <v>7.523148148148584E-4</v>
      </c>
      <c r="U14" s="1">
        <v>6.3657407407402555E-4</v>
      </c>
      <c r="V14" s="1">
        <v>1.9907407407407929E-3</v>
      </c>
      <c r="W14" s="1">
        <v>2.7314814814813904E-3</v>
      </c>
      <c r="X14" s="1">
        <v>6.423611111111116E-3</v>
      </c>
      <c r="Y14" s="1">
        <v>7.4074074074074181E-3</v>
      </c>
      <c r="Z14" s="1">
        <v>9.8379629629630205E-3</v>
      </c>
    </row>
    <row r="15" spans="1:26" x14ac:dyDescent="0.25">
      <c r="A15">
        <v>1</v>
      </c>
      <c r="B15" t="s">
        <v>38</v>
      </c>
      <c r="C15" t="s">
        <v>229</v>
      </c>
      <c r="D15">
        <v>2019</v>
      </c>
      <c r="E15" s="1" t="s">
        <v>230</v>
      </c>
      <c r="F15" s="1" t="s">
        <v>231</v>
      </c>
      <c r="G15" s="1" t="s">
        <v>232</v>
      </c>
      <c r="H15" s="1" t="s">
        <v>233</v>
      </c>
      <c r="I15" s="1" t="s">
        <v>234</v>
      </c>
      <c r="J15" s="1" t="s">
        <v>235</v>
      </c>
      <c r="K15" s="1" t="s">
        <v>236</v>
      </c>
      <c r="L15" s="1" t="s">
        <v>237</v>
      </c>
      <c r="M15" s="1" t="s">
        <v>238</v>
      </c>
      <c r="N15" s="1" t="s">
        <v>54</v>
      </c>
      <c r="O15" s="1" t="s">
        <v>34</v>
      </c>
      <c r="P15" s="1" t="s">
        <v>55</v>
      </c>
      <c r="S15" s="1">
        <v>2.4305555555548253E-4</v>
      </c>
      <c r="T15" s="1">
        <v>8.5648148148154135E-4</v>
      </c>
      <c r="U15" s="1">
        <v>6.5972222222221433E-4</v>
      </c>
      <c r="V15" s="1">
        <v>2.0254629629629095E-3</v>
      </c>
      <c r="W15" s="1">
        <v>3.1712962962963109E-3</v>
      </c>
      <c r="X15" s="1">
        <v>8.3217592592592649E-3</v>
      </c>
      <c r="Y15" s="1">
        <v>9.4328703703703276E-3</v>
      </c>
      <c r="Z15" s="1">
        <v>1.4247685185185155E-2</v>
      </c>
    </row>
    <row r="16" spans="1:26" x14ac:dyDescent="0.25">
      <c r="A16">
        <v>2</v>
      </c>
      <c r="B16" t="s">
        <v>8</v>
      </c>
      <c r="C16" t="s">
        <v>239</v>
      </c>
      <c r="D16">
        <v>2013</v>
      </c>
      <c r="E16" s="1" t="s">
        <v>240</v>
      </c>
      <c r="F16" s="1" t="s">
        <v>241</v>
      </c>
      <c r="G16" s="1" t="s">
        <v>242</v>
      </c>
      <c r="H16" s="1" t="s">
        <v>243</v>
      </c>
      <c r="I16" s="1" t="s">
        <v>244</v>
      </c>
      <c r="J16" s="1" t="s">
        <v>245</v>
      </c>
      <c r="K16" s="1" t="s">
        <v>246</v>
      </c>
      <c r="L16" s="1" t="s">
        <v>247</v>
      </c>
      <c r="M16" s="1" t="s">
        <v>248</v>
      </c>
      <c r="N16" s="1" t="s">
        <v>249</v>
      </c>
      <c r="O16" s="1" t="s">
        <v>36</v>
      </c>
      <c r="P16" s="1" t="s">
        <v>55</v>
      </c>
      <c r="S16" s="1">
        <v>3.356481481481266E-4</v>
      </c>
      <c r="T16" s="1">
        <v>7.7546296296293615E-4</v>
      </c>
      <c r="U16" s="1">
        <v>7.7546296296293615E-4</v>
      </c>
      <c r="V16" s="1">
        <v>2.8587962962962621E-3</v>
      </c>
      <c r="W16" s="1">
        <v>3.5300925925926263E-3</v>
      </c>
      <c r="X16" s="1">
        <v>1.1400462962963043E-2</v>
      </c>
      <c r="Y16" s="1">
        <v>2.0659722222222232E-2</v>
      </c>
      <c r="Z16" s="1">
        <v>2.4247685185185164E-2</v>
      </c>
    </row>
    <row r="17" spans="1:26" x14ac:dyDescent="0.25">
      <c r="A17">
        <v>4</v>
      </c>
      <c r="B17" t="s">
        <v>250</v>
      </c>
      <c r="C17" t="s">
        <v>251</v>
      </c>
      <c r="D17">
        <v>2001</v>
      </c>
      <c r="E17" s="1" t="s">
        <v>252</v>
      </c>
      <c r="F17" s="1" t="s">
        <v>253</v>
      </c>
      <c r="G17" s="1" t="s">
        <v>254</v>
      </c>
      <c r="H17" s="1" t="s">
        <v>255</v>
      </c>
      <c r="I17" s="1" t="s">
        <v>256</v>
      </c>
      <c r="J17" s="1" t="s">
        <v>257</v>
      </c>
      <c r="K17" s="1" t="s">
        <v>258</v>
      </c>
      <c r="L17" s="1" t="s">
        <v>259</v>
      </c>
      <c r="M17" s="1" t="s">
        <v>260</v>
      </c>
      <c r="N17" s="1" t="s">
        <v>54</v>
      </c>
      <c r="O17" s="1" t="s">
        <v>33</v>
      </c>
      <c r="P17" s="1" t="s">
        <v>55</v>
      </c>
      <c r="S17" s="1">
        <v>3.2407407407408773E-4</v>
      </c>
      <c r="T17" s="1">
        <v>1.2731481481481621E-3</v>
      </c>
      <c r="U17" s="1">
        <v>1.4583333333333393E-3</v>
      </c>
      <c r="V17" s="1">
        <v>1.0810185185185173E-2</v>
      </c>
      <c r="W17" s="1">
        <v>3.1828703703703498E-3</v>
      </c>
      <c r="X17" s="1">
        <v>1.5972222222222165E-2</v>
      </c>
      <c r="Y17" s="1">
        <v>1.7962962962962958E-2</v>
      </c>
      <c r="Z17" s="1">
        <v>2.0972222222222281E-2</v>
      </c>
    </row>
    <row r="18" spans="1:26" x14ac:dyDescent="0.25">
      <c r="A18">
        <v>1</v>
      </c>
      <c r="B18" t="s">
        <v>8</v>
      </c>
      <c r="C18" t="s">
        <v>17</v>
      </c>
      <c r="D18">
        <v>2012</v>
      </c>
      <c r="E18" s="1" t="s">
        <v>261</v>
      </c>
      <c r="F18" s="1" t="s">
        <v>262</v>
      </c>
      <c r="G18" s="1" t="s">
        <v>263</v>
      </c>
      <c r="H18" s="1" t="s">
        <v>264</v>
      </c>
      <c r="I18" s="1" t="s">
        <v>265</v>
      </c>
      <c r="J18" s="1" t="s">
        <v>266</v>
      </c>
      <c r="K18" s="1" t="s">
        <v>267</v>
      </c>
      <c r="L18" s="1" t="s">
        <v>268</v>
      </c>
      <c r="M18" s="1" t="s">
        <v>269</v>
      </c>
      <c r="N18" s="1" t="s">
        <v>270</v>
      </c>
      <c r="O18" s="1" t="s">
        <v>33</v>
      </c>
      <c r="P18" s="1" t="s">
        <v>55</v>
      </c>
      <c r="S18" s="1">
        <v>2.7777777777771018E-4</v>
      </c>
      <c r="T18" s="1">
        <v>8.5532407407408195E-3</v>
      </c>
      <c r="U18" s="1">
        <v>8.9120370370365798E-4</v>
      </c>
      <c r="V18" s="1">
        <v>6.0185185185185341E-3</v>
      </c>
      <c r="W18" s="1">
        <v>2.1412037037036313E-3</v>
      </c>
      <c r="X18" s="1">
        <v>9.8842592592592871E-3</v>
      </c>
      <c r="Y18" s="1">
        <v>1.2685185185185133E-2</v>
      </c>
      <c r="Z18" s="1">
        <v>2.2361111111111054E-2</v>
      </c>
    </row>
    <row r="19" spans="1:26" x14ac:dyDescent="0.25">
      <c r="A19">
        <v>3</v>
      </c>
      <c r="B19" t="s">
        <v>250</v>
      </c>
      <c r="C19" t="s">
        <v>271</v>
      </c>
      <c r="D19">
        <v>2013</v>
      </c>
      <c r="E19" s="1" t="s">
        <v>272</v>
      </c>
      <c r="F19" s="1" t="s">
        <v>273</v>
      </c>
      <c r="G19" s="1" t="s">
        <v>274</v>
      </c>
      <c r="H19" s="1" t="s">
        <v>275</v>
      </c>
      <c r="I19" s="1" t="s">
        <v>276</v>
      </c>
      <c r="J19" s="1" t="s">
        <v>277</v>
      </c>
      <c r="K19" s="1" t="s">
        <v>278</v>
      </c>
      <c r="L19" s="1" t="s">
        <v>279</v>
      </c>
      <c r="M19" s="1" t="s">
        <v>280</v>
      </c>
      <c r="N19" s="1" t="s">
        <v>281</v>
      </c>
      <c r="O19" s="1" t="s">
        <v>34</v>
      </c>
      <c r="P19" s="1" t="s">
        <v>55</v>
      </c>
      <c r="S19" s="1">
        <v>3.0092592592600997E-4</v>
      </c>
      <c r="T19" s="1">
        <v>1.7245370370370106E-3</v>
      </c>
      <c r="U19" s="1">
        <v>1.1111111111110628E-3</v>
      </c>
      <c r="V19" s="1">
        <v>3.1944444444443887E-3</v>
      </c>
      <c r="W19" s="1">
        <v>2.9745370370370949E-3</v>
      </c>
      <c r="X19" s="1">
        <v>7.7662037037037335E-3</v>
      </c>
      <c r="Y19" s="1">
        <v>1.1435185185185159E-2</v>
      </c>
      <c r="Z19" s="1">
        <v>1.6574074074074074E-2</v>
      </c>
    </row>
    <row r="20" spans="1:26" x14ac:dyDescent="0.25">
      <c r="A20">
        <v>4</v>
      </c>
      <c r="B20" t="s">
        <v>38</v>
      </c>
      <c r="C20" t="s">
        <v>21</v>
      </c>
      <c r="D20">
        <v>2010</v>
      </c>
      <c r="E20" s="1" t="s">
        <v>303</v>
      </c>
      <c r="F20" s="1" t="s">
        <v>304</v>
      </c>
      <c r="G20" s="1" t="s">
        <v>178</v>
      </c>
      <c r="H20" s="1" t="s">
        <v>305</v>
      </c>
      <c r="I20" s="1" t="s">
        <v>306</v>
      </c>
      <c r="J20" s="1" t="s">
        <v>307</v>
      </c>
      <c r="K20" s="1" t="s">
        <v>308</v>
      </c>
      <c r="L20" s="1" t="s">
        <v>309</v>
      </c>
      <c r="M20" s="1" t="s">
        <v>310</v>
      </c>
      <c r="N20" s="1" t="s">
        <v>54</v>
      </c>
      <c r="O20" s="1" t="s">
        <v>36</v>
      </c>
      <c r="P20" s="1" t="s">
        <v>55</v>
      </c>
      <c r="S20" s="1">
        <v>1.9675925925932702E-4</v>
      </c>
      <c r="T20" s="1">
        <v>7.5231481481474738E-4</v>
      </c>
      <c r="U20" s="1">
        <v>1.0069444444444908E-3</v>
      </c>
      <c r="V20" s="1">
        <v>2.3611111111111471E-3</v>
      </c>
      <c r="W20" s="1">
        <v>3.6458333333333481E-3</v>
      </c>
      <c r="X20" s="1">
        <v>1.0451388888888857E-2</v>
      </c>
      <c r="Y20" s="1">
        <v>1.1666666666666714E-2</v>
      </c>
      <c r="Z20" s="1">
        <v>1.3865740740740762E-2</v>
      </c>
    </row>
    <row r="21" spans="1:26" x14ac:dyDescent="0.25">
      <c r="A21">
        <v>1</v>
      </c>
      <c r="B21" t="s">
        <v>10</v>
      </c>
      <c r="C21" t="s">
        <v>311</v>
      </c>
      <c r="D21">
        <v>2021</v>
      </c>
      <c r="E21" s="1" t="s">
        <v>312</v>
      </c>
      <c r="F21" s="1" t="s">
        <v>313</v>
      </c>
      <c r="G21" s="1" t="s">
        <v>314</v>
      </c>
      <c r="H21" s="1" t="s">
        <v>315</v>
      </c>
      <c r="I21" s="1" t="s">
        <v>316</v>
      </c>
      <c r="J21" s="1" t="s">
        <v>317</v>
      </c>
      <c r="K21" s="1" t="s">
        <v>318</v>
      </c>
      <c r="L21" s="1" t="s">
        <v>319</v>
      </c>
      <c r="M21" s="1" t="s">
        <v>320</v>
      </c>
      <c r="N21" s="1" t="s">
        <v>321</v>
      </c>
      <c r="O21" s="1" t="s">
        <v>36</v>
      </c>
      <c r="P21" s="1" t="s">
        <v>55</v>
      </c>
      <c r="S21" s="1">
        <v>4.166666666667318E-4</v>
      </c>
      <c r="T21" s="1">
        <v>7.8703703703697503E-4</v>
      </c>
      <c r="U21" s="1">
        <v>1.0763888888889461E-3</v>
      </c>
      <c r="V21" s="1">
        <v>3.0208333333333615E-3</v>
      </c>
      <c r="W21" s="1">
        <v>3.1250000000000444E-3</v>
      </c>
      <c r="X21" s="1">
        <v>2.0798611111111032E-2</v>
      </c>
      <c r="Y21" s="1">
        <v>2.2372685185185204E-2</v>
      </c>
      <c r="Z21" s="1">
        <v>2.4606481481481479E-2</v>
      </c>
    </row>
    <row r="22" spans="1:26" x14ac:dyDescent="0.25">
      <c r="A22">
        <v>2</v>
      </c>
      <c r="B22" t="s">
        <v>322</v>
      </c>
      <c r="C22" t="s">
        <v>323</v>
      </c>
      <c r="D22">
        <v>2010</v>
      </c>
      <c r="E22" s="1" t="s">
        <v>324</v>
      </c>
      <c r="F22" s="1" t="s">
        <v>325</v>
      </c>
      <c r="G22" s="1" t="s">
        <v>326</v>
      </c>
      <c r="H22" s="1" t="s">
        <v>327</v>
      </c>
      <c r="I22" s="1" t="s">
        <v>328</v>
      </c>
      <c r="J22" s="1" t="s">
        <v>329</v>
      </c>
      <c r="K22" s="1" t="s">
        <v>330</v>
      </c>
      <c r="L22" s="1" t="s">
        <v>331</v>
      </c>
      <c r="M22" s="1" t="s">
        <v>332</v>
      </c>
      <c r="N22" s="1" t="s">
        <v>333</v>
      </c>
      <c r="O22" s="1" t="s">
        <v>34</v>
      </c>
      <c r="P22" s="1" t="s">
        <v>55</v>
      </c>
      <c r="S22" s="1">
        <v>5.7870370370372015E-4</v>
      </c>
      <c r="T22" s="1">
        <v>1.2962962962962399E-3</v>
      </c>
      <c r="U22" s="1">
        <v>1.8750000000000711E-3</v>
      </c>
      <c r="V22" s="1">
        <v>6.5162037037037601E-3</v>
      </c>
      <c r="W22" s="1">
        <v>2.7893518518518068E-3</v>
      </c>
      <c r="X22" s="1">
        <v>1.0231481481481453E-2</v>
      </c>
      <c r="Y22" s="1">
        <v>1.2418981481481461E-2</v>
      </c>
      <c r="Z22" s="1">
        <v>1.6388888888888897E-2</v>
      </c>
    </row>
    <row r="23" spans="1:26" x14ac:dyDescent="0.25">
      <c r="A23">
        <v>2</v>
      </c>
      <c r="B23" t="s">
        <v>38</v>
      </c>
      <c r="C23" t="s">
        <v>229</v>
      </c>
      <c r="D23">
        <v>2021</v>
      </c>
      <c r="E23" s="1">
        <v>0.65266203703703707</v>
      </c>
      <c r="F23" s="1">
        <v>0.65315972222222218</v>
      </c>
      <c r="G23" s="1">
        <v>0.65405092592592595</v>
      </c>
      <c r="H23" s="1">
        <v>0.65653935185185186</v>
      </c>
      <c r="I23" s="1">
        <v>0.65422453703703709</v>
      </c>
      <c r="J23" s="1">
        <v>0.65956018518518522</v>
      </c>
      <c r="K23" s="1">
        <v>0.66167824074074078</v>
      </c>
      <c r="L23" s="1">
        <v>0.66197916666666667</v>
      </c>
      <c r="M23" s="1">
        <v>0.66331018518518514</v>
      </c>
      <c r="N23" s="1" t="s">
        <v>335</v>
      </c>
      <c r="O23" s="1" t="s">
        <v>34</v>
      </c>
      <c r="P23" s="1" t="s">
        <v>55</v>
      </c>
      <c r="S23" s="1">
        <v>4.9768518518511495E-4</v>
      </c>
      <c r="T23" s="1">
        <v>8.91203703703769E-4</v>
      </c>
      <c r="U23" s="1">
        <v>1.7361111111113825E-4</v>
      </c>
      <c r="V23" s="1">
        <v>2.4884259259259078E-3</v>
      </c>
      <c r="W23" s="1">
        <v>3.0208333333333615E-3</v>
      </c>
      <c r="X23" s="1">
        <v>7.4537037037036846E-3</v>
      </c>
      <c r="Y23" s="1">
        <v>7.9282407407407218E-3</v>
      </c>
      <c r="Z23" s="1">
        <v>1.0648148148148073E-2</v>
      </c>
    </row>
    <row r="24" spans="1:26" x14ac:dyDescent="0.25">
      <c r="A24">
        <v>3</v>
      </c>
      <c r="B24" t="s">
        <v>38</v>
      </c>
      <c r="C24" t="s">
        <v>21</v>
      </c>
      <c r="D24">
        <v>2016</v>
      </c>
      <c r="E24" s="1">
        <v>0.65995370370370365</v>
      </c>
      <c r="F24" s="1">
        <v>0.66024305555555551</v>
      </c>
      <c r="G24" s="1">
        <v>0.66084490740740742</v>
      </c>
      <c r="H24" s="1">
        <v>0.66417824074074072</v>
      </c>
      <c r="I24" s="1">
        <v>0.66219907407407408</v>
      </c>
      <c r="J24" s="1">
        <v>0.66780092592592588</v>
      </c>
      <c r="K24" s="1">
        <v>0.67038194444444443</v>
      </c>
      <c r="L24" s="1">
        <v>0.67594907407407412</v>
      </c>
      <c r="M24" s="1">
        <v>0.67778935185185185</v>
      </c>
      <c r="N24" s="1" t="s">
        <v>336</v>
      </c>
      <c r="O24" s="1" t="s">
        <v>36</v>
      </c>
      <c r="P24" s="1" t="s">
        <v>55</v>
      </c>
      <c r="S24" s="1">
        <v>2.8935185185186008E-4</v>
      </c>
      <c r="T24" s="1">
        <v>6.0185185185190893E-4</v>
      </c>
      <c r="U24" s="1">
        <v>1.3541666666666563E-3</v>
      </c>
      <c r="V24" s="1">
        <v>3.3333333333332993E-3</v>
      </c>
      <c r="W24" s="1">
        <v>3.6226851851851594E-3</v>
      </c>
      <c r="X24" s="1">
        <v>8.1828703703703543E-3</v>
      </c>
      <c r="Y24" s="1">
        <v>1.5104166666666696E-2</v>
      </c>
      <c r="Z24" s="1">
        <v>1.7835648148148198E-2</v>
      </c>
    </row>
    <row r="25" spans="1:26" x14ac:dyDescent="0.25">
      <c r="A25">
        <v>1</v>
      </c>
      <c r="B25" t="s">
        <v>38</v>
      </c>
      <c r="C25" t="s">
        <v>341</v>
      </c>
      <c r="D25">
        <v>2019</v>
      </c>
      <c r="E25" s="1">
        <v>0.71009259259259261</v>
      </c>
      <c r="F25" s="1">
        <v>0.71042824074074074</v>
      </c>
      <c r="G25" s="1">
        <v>0.71157407407407403</v>
      </c>
      <c r="H25" s="1">
        <v>0.71545138888888893</v>
      </c>
      <c r="I25" s="1">
        <v>0.71215277777777775</v>
      </c>
      <c r="J25" s="1">
        <v>0.71769675925925924</v>
      </c>
      <c r="K25" s="1">
        <v>0.72232638888888889</v>
      </c>
      <c r="L25" s="1">
        <v>0.7225462962962963</v>
      </c>
      <c r="M25" s="1">
        <v>0.72321759259259255</v>
      </c>
      <c r="N25" s="1" t="s">
        <v>342</v>
      </c>
      <c r="O25" s="1" t="s">
        <v>34</v>
      </c>
      <c r="P25" s="1" t="s">
        <v>55</v>
      </c>
      <c r="S25" s="1">
        <v>3.356481481481266E-4</v>
      </c>
      <c r="T25" s="1">
        <v>1.1458333333332904E-3</v>
      </c>
      <c r="U25" s="1">
        <v>5.7870370370372015E-4</v>
      </c>
      <c r="V25" s="1">
        <v>3.8773148148149028E-3</v>
      </c>
      <c r="W25" s="1">
        <v>2.2453703703703143E-3</v>
      </c>
      <c r="X25" s="1">
        <v>1.0173611111111147E-2</v>
      </c>
      <c r="Y25" s="1">
        <v>1.0972222222222272E-2</v>
      </c>
      <c r="Z25" s="1">
        <v>1.3124999999999942E-2</v>
      </c>
    </row>
    <row r="26" spans="1:26" x14ac:dyDescent="0.25">
      <c r="A26">
        <v>3</v>
      </c>
      <c r="B26" t="s">
        <v>8</v>
      </c>
      <c r="C26" t="s">
        <v>24</v>
      </c>
      <c r="D26">
        <v>2016</v>
      </c>
      <c r="E26" s="1">
        <v>0.71096064814814819</v>
      </c>
      <c r="F26" s="1">
        <v>0.71122685185185186</v>
      </c>
      <c r="G26" s="1">
        <v>0.71278935185185188</v>
      </c>
      <c r="H26" s="1">
        <v>0.7189699074074074</v>
      </c>
      <c r="I26" s="1">
        <v>0.71491898148148147</v>
      </c>
      <c r="J26" s="1">
        <v>0.7198148148148148</v>
      </c>
      <c r="K26" s="1">
        <v>0.72280092592592593</v>
      </c>
      <c r="L26" s="1">
        <v>0.7230092592592593</v>
      </c>
      <c r="M26" s="1">
        <v>0.72465277777777781</v>
      </c>
      <c r="N26" s="1" t="s">
        <v>343</v>
      </c>
      <c r="O26" s="1" t="s">
        <v>34</v>
      </c>
      <c r="P26" s="1" t="s">
        <v>55</v>
      </c>
      <c r="S26" s="1">
        <v>2.662037037036713E-4</v>
      </c>
      <c r="T26" s="1">
        <v>1.5625000000000222E-3</v>
      </c>
      <c r="U26" s="1">
        <v>2.1296296296295925E-3</v>
      </c>
      <c r="V26" s="1">
        <v>6.1805555555555225E-3</v>
      </c>
      <c r="W26" s="1">
        <v>8.4490740740739145E-4</v>
      </c>
      <c r="X26" s="1">
        <v>7.8819444444444553E-3</v>
      </c>
      <c r="Y26" s="1">
        <v>1.0219907407407414E-2</v>
      </c>
      <c r="Z26" s="1">
        <v>1.3692129629629624E-2</v>
      </c>
    </row>
    <row r="27" spans="1:26" x14ac:dyDescent="0.25">
      <c r="A27">
        <v>2</v>
      </c>
      <c r="B27" t="s">
        <v>38</v>
      </c>
      <c r="C27" t="s">
        <v>344</v>
      </c>
      <c r="D27">
        <v>1997</v>
      </c>
      <c r="E27" s="1">
        <v>0.72623842592592591</v>
      </c>
      <c r="F27" s="1">
        <v>0.72653935185185181</v>
      </c>
      <c r="G27" s="1">
        <v>0.72722222222222221</v>
      </c>
      <c r="H27" s="1">
        <v>0.72964120370370367</v>
      </c>
      <c r="I27" s="1">
        <v>0.72851851851851857</v>
      </c>
      <c r="J27" s="1">
        <v>0.73047453703703702</v>
      </c>
      <c r="K27" s="1">
        <v>0.73715277777777777</v>
      </c>
      <c r="L27" s="1">
        <v>0.73747685185185186</v>
      </c>
      <c r="M27" s="1">
        <v>0.73841435185185189</v>
      </c>
      <c r="N27" s="1" t="s">
        <v>345</v>
      </c>
      <c r="O27" s="1" t="s">
        <v>34</v>
      </c>
      <c r="P27" s="1" t="s">
        <v>55</v>
      </c>
      <c r="S27" s="1">
        <v>3.0092592592589895E-4</v>
      </c>
      <c r="T27" s="1">
        <v>6.828703703704031E-4</v>
      </c>
      <c r="U27" s="1">
        <v>1.2962962962963509E-3</v>
      </c>
      <c r="V27" s="1">
        <v>2.4189814814814525E-3</v>
      </c>
      <c r="W27" s="1">
        <v>8.3333333333335258E-4</v>
      </c>
      <c r="X27" s="1">
        <v>8.6342592592592027E-3</v>
      </c>
      <c r="Y27" s="1">
        <v>1.0254629629629641E-2</v>
      </c>
      <c r="Z27" s="1">
        <v>1.2175925925925979E-2</v>
      </c>
    </row>
    <row r="28" spans="1:26" x14ac:dyDescent="0.25">
      <c r="A28">
        <v>4</v>
      </c>
      <c r="B28" t="s">
        <v>8</v>
      </c>
      <c r="C28" t="s">
        <v>24</v>
      </c>
      <c r="D28">
        <v>2014</v>
      </c>
      <c r="E28" s="1">
        <v>0.73476851851851854</v>
      </c>
      <c r="F28" s="1">
        <v>0.73503472222222221</v>
      </c>
      <c r="G28" s="1">
        <v>0.73591435185185183</v>
      </c>
      <c r="H28" s="1">
        <v>0.73962962962962964</v>
      </c>
      <c r="I28" s="1">
        <v>0.73675925925925922</v>
      </c>
      <c r="J28" s="1">
        <v>0.74312500000000004</v>
      </c>
      <c r="K28" s="1">
        <v>0.74719907407407404</v>
      </c>
      <c r="L28" s="1">
        <v>0.75638888888888889</v>
      </c>
      <c r="M28" s="1">
        <v>0.75765046296296301</v>
      </c>
      <c r="N28" s="1" t="s">
        <v>348</v>
      </c>
      <c r="O28" s="1" t="s">
        <v>34</v>
      </c>
      <c r="P28" s="1" t="s">
        <v>55</v>
      </c>
      <c r="S28" s="1">
        <v>2.662037037036713E-4</v>
      </c>
      <c r="T28" s="1">
        <v>8.796296296296191E-4</v>
      </c>
      <c r="U28" s="1">
        <v>8.4490740740739145E-4</v>
      </c>
      <c r="V28" s="1">
        <v>3.7152777777778034E-3</v>
      </c>
      <c r="W28" s="1">
        <v>3.4953703703703987E-3</v>
      </c>
      <c r="X28" s="1">
        <v>1.0439814814814818E-2</v>
      </c>
      <c r="Y28" s="1">
        <v>2.0474537037037055E-2</v>
      </c>
      <c r="Z28" s="1">
        <v>2.2881944444444469E-2</v>
      </c>
    </row>
    <row r="29" spans="1:26" x14ac:dyDescent="0.25">
      <c r="A29">
        <v>3</v>
      </c>
      <c r="B29" t="s">
        <v>322</v>
      </c>
      <c r="C29" t="s">
        <v>351</v>
      </c>
      <c r="D29">
        <v>2011</v>
      </c>
      <c r="E29" s="1">
        <v>0.74894675925925924</v>
      </c>
      <c r="F29" s="1">
        <v>0.74930555555555556</v>
      </c>
      <c r="G29" s="1">
        <v>0.75143518518518515</v>
      </c>
      <c r="H29" s="1">
        <v>0.75885416666666672</v>
      </c>
      <c r="I29" s="1">
        <v>0.7530324074074074</v>
      </c>
      <c r="J29" s="1">
        <v>0.76060185185185181</v>
      </c>
      <c r="K29" s="1">
        <v>0.76575231481481476</v>
      </c>
      <c r="L29" s="1">
        <v>0.76828703703703705</v>
      </c>
      <c r="M29" s="1">
        <v>0.76979166666666665</v>
      </c>
      <c r="N29" s="1" t="s">
        <v>352</v>
      </c>
      <c r="O29" s="1" t="s">
        <v>36</v>
      </c>
      <c r="P29" s="1" t="s">
        <v>55</v>
      </c>
      <c r="S29" s="1">
        <v>3.5879629629631538E-4</v>
      </c>
      <c r="T29" s="1">
        <v>2.1296296296295925E-3</v>
      </c>
      <c r="U29" s="1">
        <v>1.5972222222222499E-3</v>
      </c>
      <c r="V29" s="1">
        <v>7.418981481481568E-3</v>
      </c>
      <c r="W29" s="1">
        <v>1.7476851851850883E-3</v>
      </c>
      <c r="X29" s="1">
        <v>1.271990740740736E-2</v>
      </c>
      <c r="Y29" s="1">
        <v>1.6851851851851896E-2</v>
      </c>
      <c r="Z29" s="1">
        <v>2.0844907407407409E-2</v>
      </c>
    </row>
    <row r="30" spans="1:26" x14ac:dyDescent="0.25">
      <c r="A30">
        <v>2</v>
      </c>
      <c r="B30" t="s">
        <v>8</v>
      </c>
      <c r="C30" t="s">
        <v>353</v>
      </c>
      <c r="D30">
        <v>2022</v>
      </c>
      <c r="E30" s="1">
        <v>0.76589120370370367</v>
      </c>
      <c r="F30" s="1">
        <v>0.76603009259259258</v>
      </c>
      <c r="G30" s="1">
        <v>0.76709490740740738</v>
      </c>
      <c r="H30" s="1">
        <v>0.77074074074074073</v>
      </c>
      <c r="I30" s="1">
        <v>0.7680555555555556</v>
      </c>
      <c r="J30" s="1">
        <v>0.77296296296296296</v>
      </c>
      <c r="K30" s="1">
        <v>0.77579861111111115</v>
      </c>
      <c r="L30" s="1">
        <v>0.78021990740740743</v>
      </c>
      <c r="M30" s="1">
        <v>0.78093749999999995</v>
      </c>
      <c r="N30" s="1" t="s">
        <v>291</v>
      </c>
      <c r="O30" s="1" t="s">
        <v>34</v>
      </c>
      <c r="P30" s="1" t="s">
        <v>55</v>
      </c>
      <c r="S30" s="1">
        <v>1.388888888889106E-4</v>
      </c>
      <c r="T30" s="1">
        <v>1.0648148148147962E-3</v>
      </c>
      <c r="U30" s="1">
        <v>9.606481481482243E-4</v>
      </c>
      <c r="V30" s="1">
        <v>3.6458333333333481E-3</v>
      </c>
      <c r="W30" s="1">
        <v>2.2222222222222365E-3</v>
      </c>
      <c r="X30" s="1">
        <v>7.7430555555555447E-3</v>
      </c>
      <c r="Y30" s="1">
        <v>1.3125000000000053E-2</v>
      </c>
      <c r="Z30" s="1">
        <v>1.504629629629628E-2</v>
      </c>
    </row>
    <row r="31" spans="1:26" x14ac:dyDescent="0.25">
      <c r="A31">
        <v>1</v>
      </c>
      <c r="B31" t="s">
        <v>250</v>
      </c>
      <c r="C31" t="s">
        <v>354</v>
      </c>
      <c r="D31">
        <v>2001</v>
      </c>
      <c r="E31" s="1">
        <v>0.53232638888888884</v>
      </c>
      <c r="F31" s="1">
        <v>0.53258101851851847</v>
      </c>
      <c r="G31" s="1">
        <v>0.53343750000000001</v>
      </c>
      <c r="H31" s="1">
        <v>0.53585648148148146</v>
      </c>
      <c r="I31" s="1">
        <v>0.53415509259259264</v>
      </c>
      <c r="J31" s="1">
        <v>0.5368518518518518</v>
      </c>
      <c r="K31" s="1">
        <v>0.54317129629629635</v>
      </c>
      <c r="L31" s="1">
        <v>0.54369212962962965</v>
      </c>
      <c r="M31" s="1">
        <v>0.5458101851851852</v>
      </c>
      <c r="N31" s="1" t="s">
        <v>54</v>
      </c>
      <c r="O31" s="1" t="s">
        <v>33</v>
      </c>
      <c r="P31" s="1" t="s">
        <v>55</v>
      </c>
      <c r="S31" s="1">
        <v>2.5462962962963243E-4</v>
      </c>
      <c r="T31" s="1">
        <v>8.5648148148154135E-4</v>
      </c>
      <c r="U31" s="1">
        <v>7.1759259259263075E-4</v>
      </c>
      <c r="V31" s="1">
        <v>2.4189814814814525E-3</v>
      </c>
      <c r="W31" s="1">
        <v>9.9537037037034093E-4</v>
      </c>
      <c r="X31" s="1">
        <v>9.0162037037037068E-3</v>
      </c>
      <c r="Y31" s="1">
        <v>1.0254629629629641E-2</v>
      </c>
      <c r="Z31" s="1">
        <v>1.3483796296296369E-2</v>
      </c>
    </row>
    <row r="32" spans="1:26" x14ac:dyDescent="0.25">
      <c r="A32">
        <v>2</v>
      </c>
      <c r="B32" t="s">
        <v>11</v>
      </c>
      <c r="C32" t="s">
        <v>355</v>
      </c>
      <c r="D32">
        <v>2023</v>
      </c>
      <c r="E32" s="1">
        <v>0.53383101851851855</v>
      </c>
      <c r="F32" s="1">
        <v>0.5342824074074074</v>
      </c>
      <c r="G32" s="1">
        <v>0.53524305555555551</v>
      </c>
      <c r="H32" s="1">
        <v>0.53853009259259255</v>
      </c>
      <c r="I32" s="1">
        <v>0.53620370370370374</v>
      </c>
      <c r="J32" s="1">
        <v>0.54001157407407407</v>
      </c>
      <c r="K32" s="1">
        <v>0.54596064814814815</v>
      </c>
      <c r="L32" s="1">
        <v>0.54643518518518519</v>
      </c>
      <c r="M32" s="1">
        <v>0.54699074074074072</v>
      </c>
      <c r="N32" s="1" t="s">
        <v>54</v>
      </c>
      <c r="O32" s="1" t="s">
        <v>34</v>
      </c>
      <c r="P32" s="1" t="s">
        <v>55</v>
      </c>
      <c r="S32" s="1">
        <v>4.5138888888884843E-4</v>
      </c>
      <c r="T32" s="1">
        <v>9.6064814814811328E-4</v>
      </c>
      <c r="U32" s="1">
        <v>9.606481481482243E-4</v>
      </c>
      <c r="V32" s="1">
        <v>3.2870370370370328E-3</v>
      </c>
      <c r="W32" s="1">
        <v>1.481481481481528E-3</v>
      </c>
      <c r="X32" s="1">
        <v>9.7569444444444153E-3</v>
      </c>
      <c r="Y32" s="1">
        <v>1.1192129629629677E-2</v>
      </c>
      <c r="Z32" s="1">
        <v>1.315972222222217E-2</v>
      </c>
    </row>
    <row r="33" spans="1:26" x14ac:dyDescent="0.25">
      <c r="A33">
        <v>1</v>
      </c>
      <c r="B33" t="s">
        <v>38</v>
      </c>
      <c r="C33" t="s">
        <v>229</v>
      </c>
      <c r="D33">
        <v>2017</v>
      </c>
      <c r="E33" s="1">
        <v>0.55045138888888889</v>
      </c>
      <c r="F33" s="1">
        <v>0.55063657407407407</v>
      </c>
      <c r="G33" s="1">
        <v>0.55173611111111109</v>
      </c>
      <c r="H33" s="1">
        <v>0.55601851851851847</v>
      </c>
      <c r="I33" s="1">
        <v>0.55246527777777776</v>
      </c>
      <c r="J33" s="1">
        <v>0.55778935185185186</v>
      </c>
      <c r="K33" s="1">
        <v>0.56643518518518521</v>
      </c>
      <c r="L33" s="1">
        <v>0.56673611111111111</v>
      </c>
      <c r="M33" s="1">
        <v>0.56851851851851853</v>
      </c>
      <c r="N33" s="1" t="s">
        <v>54</v>
      </c>
      <c r="O33" s="1" t="s">
        <v>34</v>
      </c>
      <c r="P33" s="1" t="s">
        <v>55</v>
      </c>
      <c r="S33" s="1">
        <v>1.8518518518517713E-4</v>
      </c>
      <c r="T33" s="1">
        <v>1.0995370370370239E-3</v>
      </c>
      <c r="U33" s="1">
        <v>7.2916666666666963E-4</v>
      </c>
      <c r="V33" s="1">
        <v>4.2824074074073737E-3</v>
      </c>
      <c r="W33" s="1">
        <v>1.7708333333333881E-3</v>
      </c>
      <c r="X33" s="1">
        <v>1.3969907407407445E-2</v>
      </c>
      <c r="Y33" s="1">
        <v>1.5000000000000013E-2</v>
      </c>
      <c r="Z33" s="1">
        <v>1.8067129629629641E-2</v>
      </c>
    </row>
    <row r="34" spans="1:26" x14ac:dyDescent="0.25">
      <c r="A34">
        <v>2</v>
      </c>
      <c r="B34" t="s">
        <v>38</v>
      </c>
      <c r="C34" t="s">
        <v>229</v>
      </c>
      <c r="D34">
        <v>2015</v>
      </c>
      <c r="E34" s="1">
        <v>0.5514930555555555</v>
      </c>
      <c r="F34" s="1">
        <v>0.55166666666666664</v>
      </c>
      <c r="G34" s="1">
        <v>0.55244212962962957</v>
      </c>
      <c r="H34" s="1">
        <v>0.55557870370370366</v>
      </c>
      <c r="I34" s="1">
        <v>0.55354166666666671</v>
      </c>
      <c r="J34" s="1">
        <v>0.55960648148148151</v>
      </c>
      <c r="K34" s="1">
        <v>0.56630787037037034</v>
      </c>
      <c r="L34" s="1">
        <v>0.56685185185185183</v>
      </c>
      <c r="M34" s="1">
        <v>0.56913194444444448</v>
      </c>
      <c r="N34" s="1" t="s">
        <v>54</v>
      </c>
      <c r="O34" s="1" t="s">
        <v>34</v>
      </c>
      <c r="P34" s="1" t="s">
        <v>55</v>
      </c>
      <c r="S34" s="1">
        <v>1.7361111111113825E-4</v>
      </c>
      <c r="T34" s="1">
        <v>7.7546296296293615E-4</v>
      </c>
      <c r="U34" s="1">
        <v>1.0995370370371349E-3</v>
      </c>
      <c r="V34" s="1">
        <v>3.1365740740740833E-3</v>
      </c>
      <c r="W34" s="1">
        <v>4.0277777777778523E-3</v>
      </c>
      <c r="X34" s="1">
        <v>1.2766203703703627E-2</v>
      </c>
      <c r="Y34" s="1">
        <v>1.4409722222222254E-2</v>
      </c>
      <c r="Z34" s="1">
        <v>1.7638888888888982E-2</v>
      </c>
    </row>
    <row r="35" spans="1:26" x14ac:dyDescent="0.25">
      <c r="A35">
        <v>3</v>
      </c>
      <c r="B35" t="s">
        <v>38</v>
      </c>
      <c r="C35" t="s">
        <v>229</v>
      </c>
      <c r="D35">
        <v>2016</v>
      </c>
      <c r="E35" s="1">
        <v>0.55474537037037042</v>
      </c>
      <c r="F35" s="1">
        <v>0.55561342592592589</v>
      </c>
      <c r="G35" s="1">
        <v>0.55726851851851855</v>
      </c>
      <c r="H35" s="1">
        <v>0.56059027777777781</v>
      </c>
      <c r="I35" s="1">
        <v>0.55855324074074075</v>
      </c>
      <c r="J35" s="1">
        <v>0.56331018518518516</v>
      </c>
      <c r="K35" s="1">
        <v>0.5690277777777778</v>
      </c>
      <c r="L35" s="1">
        <v>0.5722800925925926</v>
      </c>
      <c r="M35" s="1">
        <v>0.5747106481481481</v>
      </c>
      <c r="N35" s="1" t="s">
        <v>333</v>
      </c>
      <c r="O35" s="1" t="s">
        <v>34</v>
      </c>
      <c r="P35" s="1" t="s">
        <v>55</v>
      </c>
      <c r="S35" s="1">
        <v>8.680555555554692E-4</v>
      </c>
      <c r="T35" s="1">
        <v>1.6550925925926663E-3</v>
      </c>
      <c r="U35" s="1">
        <v>1.284722222222201E-3</v>
      </c>
      <c r="V35" s="1">
        <v>3.3217592592592604E-3</v>
      </c>
      <c r="W35" s="1">
        <v>2.7199074074073515E-3</v>
      </c>
      <c r="X35" s="1">
        <v>1.0474537037037046E-2</v>
      </c>
      <c r="Y35" s="1">
        <v>1.5011574074074052E-2</v>
      </c>
      <c r="Z35" s="1">
        <v>1.9965277777777679E-2</v>
      </c>
    </row>
    <row r="36" spans="1:26" x14ac:dyDescent="0.25">
      <c r="A36">
        <v>4</v>
      </c>
      <c r="B36" t="s">
        <v>38</v>
      </c>
      <c r="C36" t="s">
        <v>229</v>
      </c>
      <c r="D36">
        <v>2021</v>
      </c>
      <c r="E36" s="1">
        <v>0.56108796296296293</v>
      </c>
      <c r="F36" s="1">
        <v>0.56122685185185184</v>
      </c>
      <c r="G36" s="1">
        <v>0.56236111111111109</v>
      </c>
      <c r="H36" s="1">
        <v>0.57008101851851856</v>
      </c>
      <c r="I36" s="1">
        <v>0.56317129629629625</v>
      </c>
      <c r="J36" s="1">
        <v>0.5723611111111111</v>
      </c>
      <c r="K36" s="1">
        <v>0.58871527777777777</v>
      </c>
      <c r="L36" s="1">
        <v>0.5892708333333333</v>
      </c>
      <c r="M36" s="1">
        <v>0.59075231481481483</v>
      </c>
      <c r="N36" s="1" t="s">
        <v>356</v>
      </c>
      <c r="O36" s="1" t="s">
        <v>34</v>
      </c>
      <c r="P36" s="1" t="s">
        <v>55</v>
      </c>
      <c r="S36" s="1">
        <v>1.388888888889106E-4</v>
      </c>
      <c r="T36" s="1">
        <v>1.1342592592592515E-3</v>
      </c>
      <c r="U36" s="1">
        <v>8.101851851851638E-4</v>
      </c>
      <c r="V36" s="1">
        <v>7.7199074074074669E-3</v>
      </c>
      <c r="W36" s="1">
        <v>2.2800925925925419E-3</v>
      </c>
      <c r="X36" s="1">
        <v>2.5543981481481515E-2</v>
      </c>
      <c r="Y36" s="1">
        <v>2.690972222222221E-2</v>
      </c>
      <c r="Z36" s="1">
        <v>2.96643518518519E-2</v>
      </c>
    </row>
    <row r="37" spans="1:26" x14ac:dyDescent="0.25">
      <c r="A37">
        <v>2</v>
      </c>
      <c r="B37" t="s">
        <v>359</v>
      </c>
      <c r="C37" t="s">
        <v>360</v>
      </c>
      <c r="D37">
        <v>2014</v>
      </c>
      <c r="E37" s="1">
        <v>0.57418981481481479</v>
      </c>
      <c r="F37" s="1">
        <v>0.5745717592592593</v>
      </c>
      <c r="G37" s="1">
        <v>0.57601851851851849</v>
      </c>
      <c r="H37" s="1">
        <v>0.57951388888888888</v>
      </c>
      <c r="I37" s="1">
        <v>0.57796296296296301</v>
      </c>
      <c r="J37" s="1">
        <v>0.57989583333333339</v>
      </c>
      <c r="K37" s="1">
        <v>0.5871643518518519</v>
      </c>
      <c r="L37" s="1">
        <v>0.5876851851851852</v>
      </c>
      <c r="M37" s="1">
        <v>0.58900462962962963</v>
      </c>
      <c r="N37" s="1" t="s">
        <v>361</v>
      </c>
      <c r="O37" s="1" t="s">
        <v>34</v>
      </c>
      <c r="P37" s="1" t="s">
        <v>55</v>
      </c>
      <c r="S37" s="1">
        <v>3.8194444444450415E-4</v>
      </c>
      <c r="T37" s="1">
        <v>1.4467592592591894E-3</v>
      </c>
      <c r="U37" s="1">
        <v>1.9444444444445264E-3</v>
      </c>
      <c r="V37" s="1">
        <v>3.4953703703703987E-3</v>
      </c>
      <c r="W37" s="1">
        <v>3.8194444444450415E-4</v>
      </c>
      <c r="X37" s="1">
        <v>9.201388888888884E-3</v>
      </c>
      <c r="Y37" s="1">
        <v>1.1666666666666714E-2</v>
      </c>
      <c r="Z37" s="1">
        <v>1.4814814814814836E-2</v>
      </c>
    </row>
    <row r="38" spans="1:26" x14ac:dyDescent="0.25">
      <c r="A38">
        <v>3</v>
      </c>
      <c r="B38" t="s">
        <v>359</v>
      </c>
      <c r="C38" t="s">
        <v>362</v>
      </c>
      <c r="D38">
        <v>2018</v>
      </c>
      <c r="E38" s="1">
        <v>0.59677083333333336</v>
      </c>
      <c r="F38" s="1">
        <v>0.59718749999999998</v>
      </c>
      <c r="G38" s="1">
        <v>0.59835648148148146</v>
      </c>
      <c r="H38" s="1">
        <v>0.60118055555555561</v>
      </c>
      <c r="I38" s="1">
        <v>0.59917824074074078</v>
      </c>
      <c r="J38" s="1">
        <v>0.60390046296296296</v>
      </c>
      <c r="K38" s="1">
        <v>0.60717592592592595</v>
      </c>
      <c r="L38" s="1">
        <v>0.60751157407407408</v>
      </c>
      <c r="M38" s="1">
        <v>0.61016203703703709</v>
      </c>
      <c r="N38" s="1" t="s">
        <v>343</v>
      </c>
      <c r="O38" s="1" t="s">
        <v>34</v>
      </c>
      <c r="P38" s="1" t="s">
        <v>55</v>
      </c>
      <c r="S38" s="1">
        <v>4.1666666666662078E-4</v>
      </c>
      <c r="T38" s="1">
        <v>1.1689814814814792E-3</v>
      </c>
      <c r="U38" s="1">
        <v>8.217592592593137E-4</v>
      </c>
      <c r="V38" s="1">
        <v>2.8240740740741455E-3</v>
      </c>
      <c r="W38" s="1">
        <v>2.7199074074073515E-3</v>
      </c>
      <c r="X38" s="1">
        <v>7.9976851851851771E-3</v>
      </c>
      <c r="Y38" s="1">
        <v>9.1550925925926174E-3</v>
      </c>
      <c r="Z38" s="1">
        <v>1.3391203703703725E-2</v>
      </c>
    </row>
    <row r="39" spans="1:26" x14ac:dyDescent="0.25">
      <c r="A39">
        <v>1</v>
      </c>
      <c r="B39" t="s">
        <v>8</v>
      </c>
      <c r="C39" t="s">
        <v>17</v>
      </c>
      <c r="D39">
        <v>2009</v>
      </c>
      <c r="E39" s="1">
        <v>0.60440972222222222</v>
      </c>
      <c r="F39" s="1">
        <v>0.60465277777777782</v>
      </c>
      <c r="G39" s="1">
        <v>0.6058217592592593</v>
      </c>
      <c r="H39" s="1">
        <v>0.60960648148148144</v>
      </c>
      <c r="I39" s="1">
        <v>0.60717592592592595</v>
      </c>
      <c r="J39" s="1">
        <v>0.6106018518518519</v>
      </c>
      <c r="K39" s="1">
        <v>0.61828703703703702</v>
      </c>
      <c r="L39" s="1">
        <v>0.61864583333333334</v>
      </c>
      <c r="M39" s="1">
        <v>0.61986111111111108</v>
      </c>
      <c r="N39" s="1" t="s">
        <v>363</v>
      </c>
      <c r="O39" s="1" t="s">
        <v>33</v>
      </c>
      <c r="P39" s="1" t="s">
        <v>55</v>
      </c>
      <c r="S39" s="1">
        <v>2.4305555555559355E-4</v>
      </c>
      <c r="T39" s="1">
        <v>1.1689814814814792E-3</v>
      </c>
      <c r="U39" s="1">
        <v>1.3541666666666563E-3</v>
      </c>
      <c r="V39" s="1">
        <v>3.7847222222221477E-3</v>
      </c>
      <c r="W39" s="1">
        <v>9.9537037037045195E-4</v>
      </c>
      <c r="X39" s="1">
        <v>1.1111111111111072E-2</v>
      </c>
      <c r="Y39" s="1">
        <v>1.2824074074074043E-2</v>
      </c>
      <c r="Z39" s="1">
        <v>1.5451388888888862E-2</v>
      </c>
    </row>
    <row r="40" spans="1:26" x14ac:dyDescent="0.25">
      <c r="A40">
        <v>2</v>
      </c>
      <c r="B40" t="s">
        <v>8</v>
      </c>
      <c r="C40" t="s">
        <v>366</v>
      </c>
      <c r="D40">
        <v>2003</v>
      </c>
      <c r="E40" s="1">
        <v>0.61386574074074074</v>
      </c>
      <c r="F40" s="1">
        <v>0.61423611111111109</v>
      </c>
      <c r="G40" s="1">
        <v>0.62112268518518521</v>
      </c>
      <c r="H40" s="1">
        <v>0.62445601851851851</v>
      </c>
      <c r="I40" s="1">
        <v>0.62199074074074079</v>
      </c>
      <c r="J40" s="1">
        <v>0.62604166666666672</v>
      </c>
      <c r="K40" s="1">
        <v>0.62848379629629625</v>
      </c>
      <c r="L40" s="1">
        <v>0.62864583333333335</v>
      </c>
      <c r="M40" s="1">
        <v>0.62928240740740737</v>
      </c>
      <c r="N40" s="1" t="s">
        <v>343</v>
      </c>
      <c r="O40" s="1" t="s">
        <v>36</v>
      </c>
      <c r="P40" s="1" t="s">
        <v>55</v>
      </c>
      <c r="S40" s="1">
        <v>3.7037037037035425E-4</v>
      </c>
      <c r="T40" s="1">
        <v>6.8865740740741144E-3</v>
      </c>
      <c r="U40" s="1">
        <v>8.6805555555558023E-4</v>
      </c>
      <c r="V40" s="1">
        <v>3.3333333333332993E-3</v>
      </c>
      <c r="W40" s="1">
        <v>1.585648148148211E-3</v>
      </c>
      <c r="X40" s="1">
        <v>6.4930555555554603E-3</v>
      </c>
      <c r="Y40" s="1">
        <v>7.5231481481481399E-3</v>
      </c>
      <c r="Z40" s="1">
        <v>1.5416666666666634E-2</v>
      </c>
    </row>
    <row r="41" spans="1:26" x14ac:dyDescent="0.25">
      <c r="A41">
        <v>3</v>
      </c>
      <c r="B41" t="s">
        <v>322</v>
      </c>
      <c r="C41" t="s">
        <v>367</v>
      </c>
      <c r="D41">
        <v>2019</v>
      </c>
      <c r="E41" s="1">
        <v>0.67106481481481484</v>
      </c>
      <c r="F41" s="1">
        <v>0.6712731481481482</v>
      </c>
      <c r="G41" s="1">
        <v>0.67268518518518516</v>
      </c>
      <c r="H41" s="1">
        <v>0.67600694444444442</v>
      </c>
      <c r="I41" s="1">
        <v>0.6738425925925926</v>
      </c>
      <c r="J41" s="1">
        <v>0.67975694444444446</v>
      </c>
      <c r="K41" s="1">
        <v>0.68273148148148144</v>
      </c>
      <c r="L41" s="1">
        <v>0.68300925925925926</v>
      </c>
      <c r="M41" s="1">
        <v>0.68425925925925923</v>
      </c>
      <c r="N41" s="1" t="s">
        <v>343</v>
      </c>
      <c r="O41" s="1" t="s">
        <v>34</v>
      </c>
      <c r="P41" s="1" t="s">
        <v>55</v>
      </c>
      <c r="S41" s="1">
        <v>2.083333333333659E-4</v>
      </c>
      <c r="T41" s="1">
        <v>1.4120370370369617E-3</v>
      </c>
      <c r="U41" s="1">
        <v>1.1574074074074403E-3</v>
      </c>
      <c r="V41" s="1">
        <v>3.3217592592592604E-3</v>
      </c>
      <c r="W41" s="1">
        <v>3.7500000000000311E-3</v>
      </c>
      <c r="X41" s="1">
        <v>8.8888888888888351E-3</v>
      </c>
      <c r="Y41" s="1">
        <v>1.0324074074074097E-2</v>
      </c>
      <c r="Z41" s="1">
        <v>1.3194444444444398E-2</v>
      </c>
    </row>
    <row r="42" spans="1:26" x14ac:dyDescent="0.25">
      <c r="A42">
        <v>1</v>
      </c>
      <c r="B42" t="s">
        <v>368</v>
      </c>
      <c r="C42" t="s">
        <v>369</v>
      </c>
      <c r="D42">
        <v>2013</v>
      </c>
      <c r="E42" s="1">
        <v>0.73524305555555558</v>
      </c>
      <c r="F42" s="1">
        <v>0.73548611111111106</v>
      </c>
      <c r="G42" s="1">
        <v>0.73599537037037033</v>
      </c>
      <c r="H42" s="1">
        <v>0.73934027777777778</v>
      </c>
      <c r="I42" s="1">
        <v>0.73717592592592596</v>
      </c>
      <c r="J42" s="1">
        <v>0.74083333333333334</v>
      </c>
      <c r="K42" s="1">
        <v>0.75200231481481483</v>
      </c>
      <c r="L42" s="1">
        <v>0.75230324074074073</v>
      </c>
      <c r="M42" s="1">
        <v>0.75304398148148144</v>
      </c>
      <c r="N42" s="1" t="s">
        <v>370</v>
      </c>
      <c r="O42" s="1" t="s">
        <v>34</v>
      </c>
      <c r="P42" s="1" t="s">
        <v>55</v>
      </c>
      <c r="S42" s="1">
        <v>2.4305555555548253E-4</v>
      </c>
      <c r="T42" s="1">
        <v>5.0925925925926485E-4</v>
      </c>
      <c r="U42" s="1">
        <v>1.1805555555556291E-3</v>
      </c>
      <c r="V42" s="1">
        <v>3.3449074074074492E-3</v>
      </c>
      <c r="W42" s="1">
        <v>1.4930555555555669E-3</v>
      </c>
      <c r="X42" s="1">
        <v>1.4826388888888875E-2</v>
      </c>
      <c r="Y42" s="1">
        <v>1.6307870370370403E-2</v>
      </c>
      <c r="Z42" s="1">
        <v>1.7800925925925859E-2</v>
      </c>
    </row>
    <row r="43" spans="1:26" x14ac:dyDescent="0.25">
      <c r="A43">
        <v>1</v>
      </c>
      <c r="B43" t="s">
        <v>11</v>
      </c>
      <c r="C43" t="s">
        <v>371</v>
      </c>
      <c r="D43">
        <v>2019</v>
      </c>
      <c r="E43" s="1">
        <v>0.4855902777777778</v>
      </c>
      <c r="F43" s="1">
        <v>0.48587962962962961</v>
      </c>
      <c r="G43" s="1">
        <v>0.48712962962962963</v>
      </c>
      <c r="H43" s="1">
        <v>0.48996527777777776</v>
      </c>
      <c r="I43" s="1">
        <v>0.4881712962962963</v>
      </c>
      <c r="J43" s="1">
        <v>0.49259259259259258</v>
      </c>
      <c r="K43" s="1">
        <v>0.49706018518518519</v>
      </c>
      <c r="L43" s="1">
        <v>0.50090277777777781</v>
      </c>
      <c r="M43" s="1">
        <v>0.50497685185185182</v>
      </c>
      <c r="N43" s="1" t="s">
        <v>54</v>
      </c>
      <c r="O43" s="1" t="s">
        <v>34</v>
      </c>
      <c r="P43" s="1" t="s">
        <v>55</v>
      </c>
      <c r="S43" s="1">
        <v>2.8935185185180456E-4</v>
      </c>
      <c r="T43" s="1">
        <v>1.2500000000000289E-3</v>
      </c>
      <c r="U43" s="1">
        <v>1.041666666666663E-3</v>
      </c>
      <c r="V43" s="1">
        <v>2.8356481481481288E-3</v>
      </c>
      <c r="W43" s="1">
        <v>2.6273148148148184E-3</v>
      </c>
      <c r="X43" s="1">
        <v>8.8888888888888906E-3</v>
      </c>
      <c r="Y43" s="1">
        <v>1.3773148148148173E-2</v>
      </c>
      <c r="Z43" s="1">
        <v>1.9386574074074014E-2</v>
      </c>
    </row>
    <row r="44" spans="1:26" x14ac:dyDescent="0.25">
      <c r="A44">
        <v>2</v>
      </c>
      <c r="B44" t="s">
        <v>8</v>
      </c>
      <c r="C44" t="s">
        <v>24</v>
      </c>
      <c r="D44">
        <v>2003</v>
      </c>
      <c r="E44" s="1">
        <v>0.48690972222222223</v>
      </c>
      <c r="F44" s="1">
        <v>0.48744212962962963</v>
      </c>
      <c r="G44" s="1">
        <v>0.49439814814814814</v>
      </c>
      <c r="H44" s="1">
        <v>0.50357638888888889</v>
      </c>
      <c r="I44" s="1">
        <v>0.49653935185185183</v>
      </c>
      <c r="J44" s="1">
        <v>0.50412037037037039</v>
      </c>
      <c r="K44" s="1">
        <v>0.51071759259259264</v>
      </c>
      <c r="L44" s="1">
        <v>0.51467592592592593</v>
      </c>
      <c r="M44" s="1">
        <v>0.5159259259259259</v>
      </c>
      <c r="N44" s="1" t="s">
        <v>54</v>
      </c>
      <c r="O44" s="1" t="s">
        <v>34</v>
      </c>
      <c r="P44" s="1" t="s">
        <v>55</v>
      </c>
      <c r="S44" s="1">
        <v>5.3240740740739811E-4</v>
      </c>
      <c r="T44" s="1">
        <v>6.9560185185185142E-3</v>
      </c>
      <c r="U44" s="1">
        <v>2.1412037037036868E-3</v>
      </c>
      <c r="V44" s="1">
        <v>9.1782407407407507E-3</v>
      </c>
      <c r="W44" s="1">
        <v>5.439814814814925E-4</v>
      </c>
      <c r="X44" s="1">
        <v>1.4178240740740811E-2</v>
      </c>
      <c r="Y44" s="1">
        <v>2.0277777777777783E-2</v>
      </c>
      <c r="Z44" s="1">
        <v>2.9016203703703669E-2</v>
      </c>
    </row>
    <row r="45" spans="1:26" x14ac:dyDescent="0.25">
      <c r="A45">
        <v>4</v>
      </c>
      <c r="B45" t="s">
        <v>372</v>
      </c>
      <c r="C45" t="s">
        <v>373</v>
      </c>
      <c r="D45">
        <v>2008</v>
      </c>
      <c r="E45" s="1">
        <v>0.50414351851851846</v>
      </c>
      <c r="F45" s="1">
        <v>0.5055439814814815</v>
      </c>
      <c r="G45" s="1">
        <v>0.50677083333333328</v>
      </c>
      <c r="H45" s="1">
        <v>0.51108796296296299</v>
      </c>
      <c r="I45" s="1">
        <v>0.50815972222222228</v>
      </c>
      <c r="J45" s="1">
        <v>0.51261574074074079</v>
      </c>
      <c r="K45" s="1">
        <v>0.52175925925925926</v>
      </c>
      <c r="L45" s="1">
        <v>0.52396990740740745</v>
      </c>
      <c r="M45" s="1">
        <v>0.52509259259259256</v>
      </c>
      <c r="N45" s="1" t="s">
        <v>343</v>
      </c>
      <c r="O45" s="1" t="s">
        <v>36</v>
      </c>
      <c r="P45" s="1" t="s">
        <v>55</v>
      </c>
      <c r="S45" s="1">
        <v>1.4004629629630339E-3</v>
      </c>
      <c r="T45" s="1">
        <v>1.2268518518517846E-3</v>
      </c>
      <c r="U45" s="1">
        <v>1.388888888888995E-3</v>
      </c>
      <c r="V45" s="1">
        <v>4.3171296296297124E-3</v>
      </c>
      <c r="W45" s="1">
        <v>1.5277777777777946E-3</v>
      </c>
      <c r="X45" s="1">
        <v>1.3599537037036979E-2</v>
      </c>
      <c r="Y45" s="1">
        <v>1.7199074074074172E-2</v>
      </c>
      <c r="Z45" s="1">
        <v>2.0949074074074092E-2</v>
      </c>
    </row>
    <row r="46" spans="1:26" x14ac:dyDescent="0.25">
      <c r="A46">
        <v>1</v>
      </c>
      <c r="B46" t="s">
        <v>374</v>
      </c>
      <c r="C46" t="s">
        <v>375</v>
      </c>
      <c r="D46">
        <v>2016</v>
      </c>
      <c r="E46" s="1">
        <v>0.50464120370370369</v>
      </c>
      <c r="F46" s="1">
        <v>0.50534722222222217</v>
      </c>
      <c r="G46" s="1">
        <v>0.51101851851851854</v>
      </c>
      <c r="H46" s="1">
        <v>0.5190393518518519</v>
      </c>
      <c r="I46" s="1">
        <v>0.51184027777777774</v>
      </c>
      <c r="J46" s="1">
        <v>0.52043981481481483</v>
      </c>
      <c r="K46" s="1">
        <v>0.5274537037037037</v>
      </c>
      <c r="L46" s="1">
        <v>0.52773148148148152</v>
      </c>
      <c r="M46" s="1">
        <v>0.52891203703703704</v>
      </c>
      <c r="N46" s="1" t="s">
        <v>338</v>
      </c>
      <c r="O46" s="1" t="s">
        <v>33</v>
      </c>
      <c r="P46" s="1" t="s">
        <v>55</v>
      </c>
      <c r="S46" s="1">
        <v>7.0601851851848085E-4</v>
      </c>
      <c r="T46" s="1">
        <v>5.6712962962963687E-3</v>
      </c>
      <c r="U46" s="1">
        <v>8.2175925925920268E-4</v>
      </c>
      <c r="V46" s="1">
        <v>8.0208333333333659E-3</v>
      </c>
      <c r="W46" s="1">
        <v>1.4004629629629228E-3</v>
      </c>
      <c r="X46" s="1">
        <v>1.5613425925925961E-2</v>
      </c>
      <c r="Y46" s="1">
        <v>1.6712962962962985E-2</v>
      </c>
      <c r="Z46" s="1">
        <v>2.4270833333333353E-2</v>
      </c>
    </row>
    <row r="47" spans="1:26" x14ac:dyDescent="0.25">
      <c r="A47">
        <v>2</v>
      </c>
      <c r="B47" t="s">
        <v>8</v>
      </c>
      <c r="C47" t="s">
        <v>353</v>
      </c>
      <c r="D47">
        <v>2016</v>
      </c>
      <c r="E47" s="1">
        <v>0.50695601851851857</v>
      </c>
      <c r="F47" s="1">
        <v>0.50739583333333338</v>
      </c>
      <c r="G47" s="1">
        <v>0.5169097222222222</v>
      </c>
      <c r="H47" s="1">
        <v>0.52497685185185183</v>
      </c>
      <c r="I47" s="1">
        <v>0.51749999999999996</v>
      </c>
      <c r="J47" s="1">
        <v>0.52636574074074072</v>
      </c>
      <c r="K47" s="1">
        <v>0.53107638888888886</v>
      </c>
      <c r="L47" s="1">
        <v>0.53383101851851855</v>
      </c>
      <c r="M47" s="1">
        <v>0.53423611111111113</v>
      </c>
      <c r="N47" s="1" t="s">
        <v>343</v>
      </c>
      <c r="O47" s="1" t="s">
        <v>34</v>
      </c>
      <c r="P47" s="1" t="s">
        <v>55</v>
      </c>
      <c r="S47" s="1">
        <v>4.3981481481480955E-4</v>
      </c>
      <c r="T47" s="1">
        <v>9.5138888888888218E-3</v>
      </c>
      <c r="U47" s="1">
        <v>5.9027777777775903E-4</v>
      </c>
      <c r="V47" s="1">
        <v>8.0671296296296324E-3</v>
      </c>
      <c r="W47" s="1">
        <v>1.388888888888884E-3</v>
      </c>
      <c r="X47" s="1">
        <v>1.3576388888888902E-2</v>
      </c>
      <c r="Y47" s="1">
        <v>1.6921296296296351E-2</v>
      </c>
      <c r="Z47" s="1">
        <v>2.7280092592592564E-2</v>
      </c>
    </row>
    <row r="48" spans="1:26" x14ac:dyDescent="0.25">
      <c r="A48">
        <v>1</v>
      </c>
      <c r="B48" t="s">
        <v>380</v>
      </c>
      <c r="C48" t="s">
        <v>381</v>
      </c>
      <c r="D48">
        <v>2018</v>
      </c>
      <c r="E48" s="1">
        <v>0.51938657407407407</v>
      </c>
      <c r="F48" s="1">
        <v>0.51982638888888888</v>
      </c>
      <c r="G48" s="1">
        <v>0.53037037037037038</v>
      </c>
      <c r="H48" s="1">
        <v>0.53728009259259257</v>
      </c>
      <c r="I48" s="1">
        <v>0.53121527777777777</v>
      </c>
      <c r="J48" s="1">
        <v>0.54351851851851851</v>
      </c>
      <c r="K48" s="1">
        <v>0.54809027777777775</v>
      </c>
      <c r="L48" s="1">
        <v>0.54840277777777779</v>
      </c>
      <c r="M48" s="1">
        <v>0.54865740740740743</v>
      </c>
      <c r="N48" s="1" t="s">
        <v>382</v>
      </c>
      <c r="O48" s="1" t="s">
        <v>34</v>
      </c>
      <c r="P48" s="1" t="s">
        <v>55</v>
      </c>
      <c r="S48" s="1">
        <v>4.3981481481480955E-4</v>
      </c>
      <c r="T48" s="1">
        <v>1.0543981481481501E-2</v>
      </c>
      <c r="U48" s="1">
        <v>8.4490740740739145E-4</v>
      </c>
      <c r="V48" s="1">
        <v>6.9097222222221921E-3</v>
      </c>
      <c r="W48" s="1">
        <v>6.2384259259259389E-3</v>
      </c>
      <c r="X48" s="1">
        <v>1.6874999999999973E-2</v>
      </c>
      <c r="Y48" s="1">
        <v>1.8032407407407414E-2</v>
      </c>
      <c r="Z48" s="1">
        <v>2.9270833333333357E-2</v>
      </c>
    </row>
    <row r="49" spans="1:26" x14ac:dyDescent="0.25">
      <c r="A49">
        <v>2</v>
      </c>
      <c r="B49" t="s">
        <v>8</v>
      </c>
      <c r="C49" t="s">
        <v>383</v>
      </c>
      <c r="D49">
        <v>2015</v>
      </c>
      <c r="E49" s="1">
        <v>0.56087962962962967</v>
      </c>
      <c r="F49" s="1">
        <v>0.5610532407407407</v>
      </c>
      <c r="G49" s="1">
        <v>0.56163194444444442</v>
      </c>
      <c r="H49" s="1">
        <v>0.56678240740740737</v>
      </c>
      <c r="I49" s="1">
        <v>0.56270833333333337</v>
      </c>
      <c r="J49" s="1">
        <v>0.56806712962962957</v>
      </c>
      <c r="K49" s="1">
        <v>0.57074074074074077</v>
      </c>
      <c r="L49" s="1">
        <v>0.57101851851851848</v>
      </c>
      <c r="M49" s="1">
        <v>0.57239583333333333</v>
      </c>
      <c r="N49" s="1" t="s">
        <v>384</v>
      </c>
      <c r="O49" s="1" t="s">
        <v>36</v>
      </c>
      <c r="P49" s="1" t="s">
        <v>55</v>
      </c>
      <c r="S49" s="1">
        <v>1.7361111111102723E-4</v>
      </c>
      <c r="T49" s="1">
        <v>5.7870370370372015E-4</v>
      </c>
      <c r="U49" s="1">
        <v>1.0763888888889461E-3</v>
      </c>
      <c r="V49" s="1">
        <v>5.1504629629629539E-3</v>
      </c>
      <c r="W49" s="1">
        <v>1.284722222222201E-3</v>
      </c>
      <c r="X49" s="1">
        <v>8.0324074074074048E-3</v>
      </c>
      <c r="Y49" s="1">
        <v>9.3865740740740611E-3</v>
      </c>
      <c r="Z49" s="1">
        <v>1.1516203703703654E-2</v>
      </c>
    </row>
    <row r="50" spans="1:26" x14ac:dyDescent="0.25">
      <c r="A50">
        <v>2</v>
      </c>
      <c r="B50" t="s">
        <v>8</v>
      </c>
      <c r="C50" t="s">
        <v>385</v>
      </c>
      <c r="D50">
        <v>2015</v>
      </c>
      <c r="E50" s="1">
        <v>0.57369212962962968</v>
      </c>
      <c r="F50" s="1">
        <v>0.57393518518518516</v>
      </c>
      <c r="G50" s="1">
        <v>0.57469907407407406</v>
      </c>
      <c r="H50" s="1">
        <v>0.57730324074074069</v>
      </c>
      <c r="I50" s="1">
        <v>0.5761574074074074</v>
      </c>
      <c r="J50" s="1">
        <v>0.57913194444444449</v>
      </c>
      <c r="K50" s="1">
        <v>0.58237268518518515</v>
      </c>
      <c r="L50" s="1">
        <v>0.58368055555555554</v>
      </c>
      <c r="M50" s="1">
        <v>0.58519675925925929</v>
      </c>
      <c r="N50" s="1" t="s">
        <v>54</v>
      </c>
      <c r="O50" s="1" t="s">
        <v>34</v>
      </c>
      <c r="P50" s="1" t="s">
        <v>55</v>
      </c>
      <c r="S50" s="1">
        <v>2.4305555555548253E-4</v>
      </c>
      <c r="T50" s="1">
        <v>7.6388888888889728E-4</v>
      </c>
      <c r="U50" s="1">
        <v>1.4583333333333393E-3</v>
      </c>
      <c r="V50" s="1">
        <v>2.6041666666666297E-3</v>
      </c>
      <c r="W50" s="1">
        <v>1.8287037037038045E-3</v>
      </c>
      <c r="X50" s="1">
        <v>6.2152777777777501E-3</v>
      </c>
      <c r="Y50" s="1">
        <v>8.9814814814814792E-3</v>
      </c>
      <c r="Z50" s="1">
        <v>1.1504629629629615E-2</v>
      </c>
    </row>
    <row r="51" spans="1:26" x14ac:dyDescent="0.25">
      <c r="A51">
        <v>1</v>
      </c>
      <c r="B51" t="s">
        <v>380</v>
      </c>
      <c r="C51" t="s">
        <v>381</v>
      </c>
      <c r="D51">
        <v>2019</v>
      </c>
      <c r="E51" s="1">
        <v>0.58741898148148153</v>
      </c>
      <c r="F51" s="1">
        <v>0.58751157407407406</v>
      </c>
      <c r="G51" s="1">
        <v>0.58807870370370374</v>
      </c>
      <c r="H51" s="1">
        <v>0.59094907407407404</v>
      </c>
      <c r="I51" s="1">
        <v>0.58868055555555554</v>
      </c>
      <c r="J51" s="1">
        <v>0.5917013888888889</v>
      </c>
      <c r="K51" s="1">
        <v>0.59706018518518522</v>
      </c>
      <c r="L51" s="1">
        <v>0.61321759259259256</v>
      </c>
      <c r="M51" s="1">
        <v>0.61684027777777772</v>
      </c>
      <c r="N51" s="1" t="s">
        <v>386</v>
      </c>
      <c r="O51" s="1" t="s">
        <v>34</v>
      </c>
      <c r="P51" s="1" t="s">
        <v>55</v>
      </c>
      <c r="S51" s="1">
        <v>9.2592592592533052E-5</v>
      </c>
      <c r="T51" s="1">
        <v>5.6712962962968128E-4</v>
      </c>
      <c r="U51" s="1">
        <v>6.018518518517979E-4</v>
      </c>
      <c r="V51" s="1">
        <v>2.870370370370301E-3</v>
      </c>
      <c r="W51" s="1">
        <v>7.523148148148584E-4</v>
      </c>
      <c r="X51" s="1">
        <v>8.3796296296296813E-3</v>
      </c>
      <c r="Y51" s="1">
        <v>2.5138888888888822E-2</v>
      </c>
      <c r="Z51" s="1">
        <v>2.9421296296296195E-2</v>
      </c>
    </row>
    <row r="52" spans="1:26" x14ac:dyDescent="0.25">
      <c r="A52">
        <v>4</v>
      </c>
      <c r="B52" t="s">
        <v>390</v>
      </c>
      <c r="C52" t="s">
        <v>391</v>
      </c>
      <c r="D52">
        <v>2006</v>
      </c>
      <c r="E52" s="1">
        <v>0.61037037037037034</v>
      </c>
      <c r="F52" s="1">
        <v>0.61054398148148148</v>
      </c>
      <c r="G52" s="1">
        <v>0.6111226851851852</v>
      </c>
      <c r="H52" s="1">
        <v>0.61517361111111113</v>
      </c>
      <c r="I52" s="1">
        <v>0.61260416666666662</v>
      </c>
      <c r="J52" s="1">
        <v>0.61701388888888886</v>
      </c>
      <c r="K52" s="1">
        <v>0.62156250000000002</v>
      </c>
      <c r="L52" s="1">
        <v>0.62759259259259259</v>
      </c>
      <c r="M52" s="1">
        <v>0.62783564814814818</v>
      </c>
      <c r="N52" s="1" t="s">
        <v>392</v>
      </c>
      <c r="O52" s="1" t="s">
        <v>34</v>
      </c>
      <c r="P52" s="1" t="s">
        <v>55</v>
      </c>
      <c r="S52" s="1">
        <v>1.7361111111113825E-4</v>
      </c>
      <c r="T52" s="1">
        <v>5.7870370370372015E-4</v>
      </c>
      <c r="U52" s="1">
        <v>1.481481481481417E-3</v>
      </c>
      <c r="V52" s="1">
        <v>4.05092592592593E-3</v>
      </c>
      <c r="W52" s="1">
        <v>1.8402777777777324E-3</v>
      </c>
      <c r="X52" s="1">
        <v>8.9583333333334014E-3</v>
      </c>
      <c r="Y52" s="1">
        <v>1.6469907407407391E-2</v>
      </c>
      <c r="Z52" s="1">
        <v>1.7465277777777843E-2</v>
      </c>
    </row>
    <row r="53" spans="1:26" x14ac:dyDescent="0.25">
      <c r="A53">
        <v>3</v>
      </c>
      <c r="B53" t="s">
        <v>393</v>
      </c>
      <c r="C53" t="s">
        <v>239</v>
      </c>
      <c r="D53">
        <v>2018</v>
      </c>
      <c r="E53" s="1">
        <v>0.61627314814814815</v>
      </c>
      <c r="F53" s="1">
        <v>0.61644675925925929</v>
      </c>
      <c r="G53" s="1">
        <v>0.61763888888888885</v>
      </c>
      <c r="H53" s="1">
        <v>0.62171296296296297</v>
      </c>
      <c r="I53" s="1">
        <v>0.61962962962962964</v>
      </c>
      <c r="J53" s="1">
        <v>0.62315972222222227</v>
      </c>
      <c r="K53" s="1">
        <v>0.62746527777777783</v>
      </c>
      <c r="L53" s="1">
        <v>0.6281944444444445</v>
      </c>
      <c r="M53" s="1">
        <v>0.6285532407407407</v>
      </c>
      <c r="N53" s="1" t="s">
        <v>333</v>
      </c>
      <c r="O53" s="1" t="s">
        <v>36</v>
      </c>
      <c r="P53" s="1" t="s">
        <v>55</v>
      </c>
      <c r="S53" s="1">
        <v>1.7361111111113825E-4</v>
      </c>
      <c r="T53" s="1">
        <v>1.1921296296295569E-3</v>
      </c>
      <c r="U53" s="1">
        <v>1.9907407407407929E-3</v>
      </c>
      <c r="V53" s="1">
        <v>4.0740740740741188E-3</v>
      </c>
      <c r="W53" s="1">
        <v>1.4467592592593004E-3</v>
      </c>
      <c r="X53" s="1">
        <v>7.8356481481481888E-3</v>
      </c>
      <c r="Y53" s="1">
        <v>1.0555555555555651E-2</v>
      </c>
      <c r="Z53" s="1">
        <v>1.2280092592592551E-2</v>
      </c>
    </row>
    <row r="54" spans="1:26" x14ac:dyDescent="0.25">
      <c r="A54">
        <v>2</v>
      </c>
      <c r="B54" t="s">
        <v>38</v>
      </c>
      <c r="C54" t="s">
        <v>397</v>
      </c>
      <c r="D54">
        <v>2014</v>
      </c>
      <c r="E54" s="1">
        <v>0.65127314814814818</v>
      </c>
      <c r="F54" s="1">
        <v>0.65145833333333336</v>
      </c>
      <c r="G54" s="1">
        <v>0.65216435185185184</v>
      </c>
      <c r="H54" s="1">
        <v>0.65643518518518518</v>
      </c>
      <c r="I54" s="1">
        <v>0.65282407407407406</v>
      </c>
      <c r="J54" s="1">
        <v>0.66313657407407411</v>
      </c>
      <c r="K54" s="1">
        <v>0.66587962962962965</v>
      </c>
      <c r="L54" s="1">
        <v>0.69045138888888891</v>
      </c>
      <c r="M54" s="1">
        <v>0.69153935185185189</v>
      </c>
      <c r="N54" s="1" t="s">
        <v>398</v>
      </c>
      <c r="O54" s="1" t="s">
        <v>33</v>
      </c>
      <c r="P54" s="1" t="s">
        <v>55</v>
      </c>
      <c r="S54" s="1">
        <v>1.8518518518517713E-4</v>
      </c>
      <c r="T54" s="1">
        <v>7.0601851851848085E-4</v>
      </c>
      <c r="U54" s="1">
        <v>6.5972222222221433E-4</v>
      </c>
      <c r="V54" s="1">
        <v>4.2708333333333348E-3</v>
      </c>
      <c r="W54" s="1">
        <v>6.7013888888889372E-3</v>
      </c>
      <c r="X54" s="1">
        <v>1.3055555555555598E-2</v>
      </c>
      <c r="Y54" s="1">
        <v>3.8287037037037064E-2</v>
      </c>
      <c r="Z54" s="1">
        <v>4.0266203703703707E-2</v>
      </c>
    </row>
    <row r="55" spans="1:26" x14ac:dyDescent="0.25">
      <c r="A55">
        <v>3</v>
      </c>
      <c r="B55" t="s">
        <v>8</v>
      </c>
      <c r="C55" t="s">
        <v>24</v>
      </c>
      <c r="D55">
        <v>2014</v>
      </c>
      <c r="E55" s="1">
        <v>0.68230324074074078</v>
      </c>
      <c r="F55" s="1">
        <v>0.68307870370370372</v>
      </c>
      <c r="G55" s="1">
        <v>0.68434027777777773</v>
      </c>
      <c r="H55" s="1">
        <v>0.68807870370370372</v>
      </c>
      <c r="I55" s="1">
        <v>0.68571759259259257</v>
      </c>
      <c r="J55" s="1">
        <v>0.69251157407407404</v>
      </c>
      <c r="K55" s="1">
        <v>0.69604166666666667</v>
      </c>
      <c r="L55" s="1">
        <v>0.70030092592592597</v>
      </c>
      <c r="M55" s="1">
        <v>0.70064814814814813</v>
      </c>
      <c r="N55" s="1" t="s">
        <v>400</v>
      </c>
      <c r="O55" s="1" t="s">
        <v>34</v>
      </c>
      <c r="P55" s="1" t="s">
        <v>55</v>
      </c>
      <c r="S55" s="1">
        <v>7.7546296296293615E-4</v>
      </c>
      <c r="T55" s="1">
        <v>1.2615740740740122E-3</v>
      </c>
      <c r="U55" s="1">
        <v>1.3773148148148451E-3</v>
      </c>
      <c r="V55" s="1">
        <v>3.7384259259259922E-3</v>
      </c>
      <c r="W55" s="1">
        <v>4.4328703703703232E-3</v>
      </c>
      <c r="X55" s="1">
        <v>1.0324074074074097E-2</v>
      </c>
      <c r="Y55" s="1">
        <v>1.5960648148148238E-2</v>
      </c>
      <c r="Z55" s="1">
        <v>1.8344907407407351E-2</v>
      </c>
    </row>
    <row r="56" spans="1:26" x14ac:dyDescent="0.25">
      <c r="A56">
        <v>4</v>
      </c>
      <c r="B56" t="s">
        <v>38</v>
      </c>
      <c r="C56" t="s">
        <v>397</v>
      </c>
      <c r="D56">
        <v>2006</v>
      </c>
      <c r="E56" s="1">
        <v>0.68730324074074078</v>
      </c>
      <c r="F56" s="1">
        <v>0.68754629629629627</v>
      </c>
      <c r="G56" s="1">
        <v>0.6882638888888889</v>
      </c>
      <c r="H56" s="1">
        <v>0.69112268518518516</v>
      </c>
      <c r="I56" s="1">
        <v>0.68967592592592597</v>
      </c>
      <c r="J56" s="1">
        <v>0.69374999999999998</v>
      </c>
      <c r="K56" s="1">
        <v>0.69918981481481479</v>
      </c>
      <c r="L56" s="1">
        <v>0.69959490740740737</v>
      </c>
      <c r="M56" s="1">
        <v>0.70125000000000004</v>
      </c>
      <c r="N56" s="1" t="s">
        <v>54</v>
      </c>
      <c r="O56" s="1" t="s">
        <v>33</v>
      </c>
      <c r="P56" s="1" t="s">
        <v>55</v>
      </c>
      <c r="S56" s="1">
        <v>2.4305555555548253E-4</v>
      </c>
      <c r="T56" s="1">
        <v>7.1759259259263075E-4</v>
      </c>
      <c r="U56" s="1">
        <v>1.4120370370370727E-3</v>
      </c>
      <c r="V56" s="1">
        <v>2.8587962962962621E-3</v>
      </c>
      <c r="W56" s="1">
        <v>2.6273148148148184E-3</v>
      </c>
      <c r="X56" s="1">
        <v>9.5138888888888218E-3</v>
      </c>
      <c r="Y56" s="1">
        <v>1.1331018518518476E-2</v>
      </c>
      <c r="Z56" s="1">
        <v>1.3946759259259256E-2</v>
      </c>
    </row>
    <row r="57" spans="1:26" x14ac:dyDescent="0.25">
      <c r="A57">
        <v>2</v>
      </c>
      <c r="B57" t="s">
        <v>8</v>
      </c>
      <c r="C57" t="s">
        <v>401</v>
      </c>
      <c r="D57">
        <v>2018</v>
      </c>
      <c r="E57" s="1">
        <v>0.70406250000000004</v>
      </c>
      <c r="F57" s="1">
        <v>0.70445601851851847</v>
      </c>
      <c r="G57" s="1">
        <v>0.70506944444444442</v>
      </c>
      <c r="H57" s="1">
        <v>0.70702546296296298</v>
      </c>
      <c r="I57" s="1">
        <v>0.70571759259259259</v>
      </c>
      <c r="J57" s="1">
        <v>0.70871527777777776</v>
      </c>
      <c r="K57" s="1">
        <v>0.71156249999999999</v>
      </c>
      <c r="L57" s="1">
        <v>0.72222222222222221</v>
      </c>
      <c r="M57" s="1">
        <v>0.72310185185185183</v>
      </c>
      <c r="N57" s="1" t="s">
        <v>402</v>
      </c>
      <c r="O57" s="1" t="s">
        <v>34</v>
      </c>
      <c r="P57" s="1" t="s">
        <v>55</v>
      </c>
      <c r="S57" s="1">
        <v>3.93518518518432E-4</v>
      </c>
      <c r="T57" s="1">
        <v>6.134259259259478E-4</v>
      </c>
      <c r="U57" s="1">
        <v>6.4814814814817545E-4</v>
      </c>
      <c r="V57" s="1">
        <v>1.9560185185185652E-3</v>
      </c>
      <c r="W57" s="1">
        <v>1.6898148148147829E-3</v>
      </c>
      <c r="X57" s="1">
        <v>5.8449074074073959E-3</v>
      </c>
      <c r="Y57" s="1">
        <v>1.7152777777777795E-2</v>
      </c>
      <c r="Z57" s="1">
        <v>1.9039351851851793E-2</v>
      </c>
    </row>
    <row r="58" spans="1:26" x14ac:dyDescent="0.25">
      <c r="A58">
        <v>1</v>
      </c>
      <c r="B58" t="s">
        <v>322</v>
      </c>
      <c r="C58" t="s">
        <v>405</v>
      </c>
      <c r="D58">
        <v>2020</v>
      </c>
      <c r="E58" s="1">
        <v>0.71545138888888893</v>
      </c>
      <c r="F58" s="1">
        <v>0.71585648148148151</v>
      </c>
      <c r="G58" s="1">
        <v>0.71644675925925927</v>
      </c>
      <c r="H58" s="1">
        <v>0.71994212962962967</v>
      </c>
      <c r="I58" s="1">
        <v>0.71706018518518522</v>
      </c>
      <c r="J58" s="1">
        <v>0.72624999999999995</v>
      </c>
      <c r="K58" s="1">
        <v>0.72820601851851852</v>
      </c>
      <c r="L58" s="1">
        <v>0.72923611111111108</v>
      </c>
      <c r="M58" s="1">
        <v>0.73181712962962964</v>
      </c>
      <c r="N58" s="1" t="s">
        <v>343</v>
      </c>
      <c r="O58" s="1" t="s">
        <v>34</v>
      </c>
      <c r="P58" s="1" t="s">
        <v>55</v>
      </c>
      <c r="S58" s="1">
        <v>4.050925925925819E-4</v>
      </c>
      <c r="T58" s="1">
        <v>5.9027777777775903E-4</v>
      </c>
      <c r="U58" s="1">
        <v>6.134259259259478E-4</v>
      </c>
      <c r="V58" s="1">
        <v>3.4953703703703987E-3</v>
      </c>
      <c r="W58" s="1">
        <v>6.3078703703702832E-3</v>
      </c>
      <c r="X58" s="1">
        <v>1.1145833333333299E-2</v>
      </c>
      <c r="Y58" s="1">
        <v>1.2789351851851816E-2</v>
      </c>
      <c r="Z58" s="1">
        <v>1.6365740740740709E-2</v>
      </c>
    </row>
    <row r="59" spans="1:26" x14ac:dyDescent="0.25">
      <c r="A59">
        <v>1</v>
      </c>
      <c r="B59" t="s">
        <v>406</v>
      </c>
      <c r="C59" t="s">
        <v>407</v>
      </c>
      <c r="D59">
        <v>2021</v>
      </c>
      <c r="E59" s="1">
        <v>0.72807870370370376</v>
      </c>
      <c r="F59" s="1">
        <v>0.72817129629629629</v>
      </c>
      <c r="G59" s="1">
        <v>0.7299768518518519</v>
      </c>
      <c r="H59" s="1">
        <v>0.73420138888888886</v>
      </c>
      <c r="I59" s="1">
        <v>0.73129629629629633</v>
      </c>
      <c r="J59" s="1">
        <v>0.73731481481481487</v>
      </c>
      <c r="K59" s="1">
        <v>0.74186342592592591</v>
      </c>
      <c r="L59" s="1">
        <v>0.74211805555555554</v>
      </c>
      <c r="M59" s="1">
        <v>0.74342592592592593</v>
      </c>
      <c r="N59" s="1" t="s">
        <v>333</v>
      </c>
      <c r="O59" s="1" t="s">
        <v>34</v>
      </c>
      <c r="P59" s="1" t="s">
        <v>55</v>
      </c>
      <c r="S59" s="1">
        <v>9.2592592592533052E-5</v>
      </c>
      <c r="T59" s="1">
        <v>1.8055555555556158E-3</v>
      </c>
      <c r="U59" s="1">
        <v>1.3194444444444287E-3</v>
      </c>
      <c r="V59" s="1">
        <v>4.2245370370369573E-3</v>
      </c>
      <c r="W59" s="1">
        <v>3.1134259259260055E-3</v>
      </c>
      <c r="X59" s="1">
        <v>1.0567129629629579E-2</v>
      </c>
      <c r="Y59" s="1">
        <v>1.214120370370364E-2</v>
      </c>
      <c r="Z59" s="1">
        <v>1.5347222222222179E-2</v>
      </c>
    </row>
    <row r="60" spans="1:26" x14ac:dyDescent="0.25">
      <c r="A60">
        <v>1</v>
      </c>
      <c r="B60" t="s">
        <v>250</v>
      </c>
      <c r="C60" t="s">
        <v>408</v>
      </c>
      <c r="D60">
        <v>2016</v>
      </c>
      <c r="E60" s="1">
        <v>0.73776620370370372</v>
      </c>
      <c r="F60" s="1">
        <v>0.73797453703703708</v>
      </c>
      <c r="G60" s="1">
        <v>0.73936342592592597</v>
      </c>
      <c r="H60" s="1">
        <v>0.74384259259259256</v>
      </c>
      <c r="I60" s="1">
        <v>0.74111111111111116</v>
      </c>
      <c r="J60" s="1">
        <v>0.74914351851851857</v>
      </c>
      <c r="K60" s="1">
        <v>0.75951388888888893</v>
      </c>
      <c r="L60" s="1">
        <v>0.75991898148148151</v>
      </c>
      <c r="M60" s="1">
        <v>0.76145833333333335</v>
      </c>
      <c r="N60" s="1" t="s">
        <v>409</v>
      </c>
      <c r="O60" s="1" t="s">
        <v>34</v>
      </c>
      <c r="P60" s="1" t="s">
        <v>55</v>
      </c>
      <c r="S60" s="1">
        <v>2.083333333333659E-4</v>
      </c>
      <c r="T60" s="1">
        <v>1.388888888888884E-3</v>
      </c>
      <c r="U60" s="1">
        <v>1.7476851851851993E-3</v>
      </c>
      <c r="V60" s="1">
        <v>4.4791666666665897E-3</v>
      </c>
      <c r="W60" s="1">
        <v>5.3009259259260144E-3</v>
      </c>
      <c r="X60" s="1">
        <v>1.8402777777777768E-2</v>
      </c>
      <c r="Y60" s="1">
        <v>2.0555555555555549E-2</v>
      </c>
      <c r="Z60" s="1">
        <v>2.3692129629629632E-2</v>
      </c>
    </row>
    <row r="61" spans="1:26" x14ac:dyDescent="0.25">
      <c r="A61">
        <v>1</v>
      </c>
      <c r="B61" t="s">
        <v>56</v>
      </c>
      <c r="C61" t="s">
        <v>410</v>
      </c>
      <c r="D61">
        <v>2014</v>
      </c>
      <c r="E61" s="1">
        <v>0.74065972222222221</v>
      </c>
      <c r="F61" s="1">
        <v>0.74087962962962961</v>
      </c>
      <c r="G61" s="1">
        <v>0.74349537037037039</v>
      </c>
      <c r="H61" s="1">
        <v>0.74653935185185183</v>
      </c>
      <c r="I61" s="1">
        <v>0.74414351851851857</v>
      </c>
      <c r="J61" s="1">
        <v>0.7522685185185185</v>
      </c>
      <c r="K61" s="1">
        <v>0.75760416666666663</v>
      </c>
      <c r="L61" s="1">
        <v>0.75872685185185185</v>
      </c>
      <c r="M61" s="1">
        <v>0.76037037037037036</v>
      </c>
      <c r="N61" s="1" t="s">
        <v>411</v>
      </c>
      <c r="O61" s="1" t="s">
        <v>34</v>
      </c>
      <c r="P61" s="1" t="s">
        <v>55</v>
      </c>
      <c r="S61" s="1">
        <v>2.1990740740740478E-4</v>
      </c>
      <c r="T61" s="1">
        <v>2.6157407407407796E-3</v>
      </c>
      <c r="U61" s="1">
        <v>6.4814814814817545E-4</v>
      </c>
      <c r="V61" s="1">
        <v>3.0439814814814392E-3</v>
      </c>
      <c r="W61" s="1">
        <v>5.7291666666666741E-3</v>
      </c>
      <c r="X61" s="1">
        <v>1.3460648148148069E-2</v>
      </c>
      <c r="Y61" s="1">
        <v>1.5231481481481457E-2</v>
      </c>
      <c r="Z61" s="1">
        <v>1.9710648148148158E-2</v>
      </c>
    </row>
    <row r="62" spans="1:26" x14ac:dyDescent="0.25">
      <c r="A62">
        <v>3</v>
      </c>
      <c r="B62" t="s">
        <v>38</v>
      </c>
      <c r="C62" t="s">
        <v>412</v>
      </c>
      <c r="D62">
        <v>2021</v>
      </c>
      <c r="E62" s="1">
        <v>0.76467592592592593</v>
      </c>
      <c r="F62" s="1">
        <v>0.76484953703703706</v>
      </c>
      <c r="G62" s="1">
        <v>0.76629629629629625</v>
      </c>
      <c r="H62" s="1">
        <v>0.76916666666666667</v>
      </c>
      <c r="I62" s="1">
        <v>0.76695601851851847</v>
      </c>
      <c r="J62" s="1">
        <v>0.77140046296296294</v>
      </c>
      <c r="K62" s="1">
        <v>0.78252314814814816</v>
      </c>
      <c r="L62" s="1">
        <v>0.78265046296296292</v>
      </c>
      <c r="M62" s="1">
        <v>0.783599537037037</v>
      </c>
      <c r="N62" s="1" t="s">
        <v>413</v>
      </c>
      <c r="O62" s="1" t="s">
        <v>34</v>
      </c>
      <c r="P62" s="1" t="s">
        <v>55</v>
      </c>
      <c r="S62" s="1">
        <v>1.7361111111113825E-4</v>
      </c>
      <c r="T62" s="1">
        <v>1.4467592592591894E-3</v>
      </c>
      <c r="U62" s="1">
        <v>6.5972222222221433E-4</v>
      </c>
      <c r="V62" s="1">
        <v>2.870370370370412E-3</v>
      </c>
      <c r="W62" s="1">
        <v>2.2337962962962754E-3</v>
      </c>
      <c r="X62" s="1">
        <v>1.5567129629629695E-2</v>
      </c>
      <c r="Y62" s="1">
        <v>1.635416666666667E-2</v>
      </c>
      <c r="Z62" s="1">
        <v>1.8923611111111072E-2</v>
      </c>
    </row>
    <row r="63" spans="1:26" x14ac:dyDescent="0.25">
      <c r="A63">
        <v>1</v>
      </c>
      <c r="B63" t="s">
        <v>38</v>
      </c>
      <c r="C63" t="s">
        <v>419</v>
      </c>
      <c r="D63">
        <v>2018</v>
      </c>
      <c r="E63" s="1">
        <v>0.4140625</v>
      </c>
      <c r="F63" s="1">
        <v>0.41422453703703704</v>
      </c>
      <c r="G63" s="1">
        <v>0.4148263888888889</v>
      </c>
      <c r="H63" s="1">
        <v>0.41799768518518521</v>
      </c>
      <c r="I63" s="1">
        <v>0.41646990740740741</v>
      </c>
      <c r="J63" s="1">
        <v>0.41915509259259259</v>
      </c>
      <c r="K63" s="1">
        <v>0.42520833333333335</v>
      </c>
      <c r="L63" s="1">
        <v>0.42653935185185188</v>
      </c>
      <c r="M63" s="1">
        <v>0.42761574074074077</v>
      </c>
      <c r="N63" s="1" t="s">
        <v>420</v>
      </c>
      <c r="O63" s="1" t="s">
        <v>34</v>
      </c>
      <c r="P63" s="1" t="s">
        <v>55</v>
      </c>
      <c r="S63" s="1">
        <v>1.6203703703704386E-4</v>
      </c>
      <c r="T63" s="1">
        <v>6.0185185185185341E-4</v>
      </c>
      <c r="U63" s="1">
        <v>1.6435185185185164E-3</v>
      </c>
      <c r="V63" s="1">
        <v>3.1712962962963109E-3</v>
      </c>
      <c r="W63" s="1">
        <v>1.1574074074073848E-3</v>
      </c>
      <c r="X63" s="1">
        <v>8.7384259259259411E-3</v>
      </c>
      <c r="Y63" s="1">
        <v>1.1712962962962981E-2</v>
      </c>
      <c r="Z63" s="1">
        <v>1.3553240740740768E-2</v>
      </c>
    </row>
    <row r="64" spans="1:26" x14ac:dyDescent="0.25">
      <c r="A64">
        <v>1</v>
      </c>
      <c r="B64" t="s">
        <v>322</v>
      </c>
      <c r="C64" t="s">
        <v>323</v>
      </c>
      <c r="D64">
        <v>2023</v>
      </c>
      <c r="E64" s="1">
        <v>0.4286226851851852</v>
      </c>
      <c r="F64" s="1">
        <v>0.4289351851851852</v>
      </c>
      <c r="G64" s="1">
        <v>0.4296875</v>
      </c>
      <c r="H64" s="1">
        <v>0.43178240740740742</v>
      </c>
      <c r="I64" s="1">
        <v>0.43046296296296294</v>
      </c>
      <c r="J64" s="1">
        <v>0.4337847222222222</v>
      </c>
      <c r="K64" s="1">
        <v>0.43751157407407409</v>
      </c>
      <c r="L64" s="1">
        <v>0.43777777777777777</v>
      </c>
      <c r="M64" s="1">
        <v>0.43814814814814818</v>
      </c>
      <c r="N64" s="1" t="s">
        <v>352</v>
      </c>
      <c r="O64" s="1" t="s">
        <v>34</v>
      </c>
      <c r="P64" s="1" t="s">
        <v>55</v>
      </c>
      <c r="S64" s="1">
        <v>3.1249999999999334E-4</v>
      </c>
      <c r="T64" s="1">
        <v>7.5231481481480289E-4</v>
      </c>
      <c r="U64" s="1">
        <v>7.7546296296293615E-4</v>
      </c>
      <c r="V64" s="1">
        <v>2.0949074074074203E-3</v>
      </c>
      <c r="W64" s="1">
        <v>2.0023148148147762E-3</v>
      </c>
      <c r="X64" s="1">
        <v>7.0486111111111582E-3</v>
      </c>
      <c r="Y64" s="1">
        <v>8.0902777777777657E-3</v>
      </c>
      <c r="Z64" s="1">
        <v>9.5254629629629717E-3</v>
      </c>
    </row>
    <row r="65" spans="1:26" x14ac:dyDescent="0.25">
      <c r="A65">
        <v>2</v>
      </c>
      <c r="B65" t="s">
        <v>406</v>
      </c>
      <c r="C65" t="s">
        <v>355</v>
      </c>
      <c r="D65">
        <v>2023</v>
      </c>
      <c r="E65" s="1">
        <v>0.43461805555555555</v>
      </c>
      <c r="F65" s="1">
        <v>0.43481481481481482</v>
      </c>
      <c r="G65" s="1">
        <v>0.43550925925925926</v>
      </c>
      <c r="H65" s="1">
        <v>0.43763888888888891</v>
      </c>
      <c r="I65" s="1">
        <v>0.43614583333333334</v>
      </c>
      <c r="J65" s="1">
        <v>0.43989583333333332</v>
      </c>
      <c r="K65" s="1">
        <v>0.44283564814814813</v>
      </c>
      <c r="L65" s="1">
        <v>0.44347222222222221</v>
      </c>
      <c r="M65" s="1">
        <v>0.44408564814814816</v>
      </c>
      <c r="N65" s="1" t="s">
        <v>343</v>
      </c>
      <c r="O65" s="1" t="s">
        <v>34</v>
      </c>
      <c r="P65" s="1" t="s">
        <v>55</v>
      </c>
      <c r="S65" s="1">
        <v>1.9675925925927151E-4</v>
      </c>
      <c r="T65" s="1">
        <v>6.9444444444444198E-4</v>
      </c>
      <c r="U65" s="1">
        <v>6.3657407407408106E-4</v>
      </c>
      <c r="V65" s="1">
        <v>2.129629629629648E-3</v>
      </c>
      <c r="W65" s="1">
        <v>2.2569444444444087E-3</v>
      </c>
      <c r="X65" s="1">
        <v>6.6898148148147873E-3</v>
      </c>
      <c r="Y65" s="1">
        <v>7.9629629629629495E-3</v>
      </c>
      <c r="Z65" s="1">
        <v>9.4675925925926108E-3</v>
      </c>
    </row>
    <row r="66" spans="1:26" x14ac:dyDescent="0.25">
      <c r="A66">
        <v>1</v>
      </c>
      <c r="B66" t="s">
        <v>406</v>
      </c>
      <c r="C66" t="s">
        <v>355</v>
      </c>
      <c r="D66">
        <v>2024</v>
      </c>
      <c r="E66" s="1">
        <v>0.44523148148148151</v>
      </c>
      <c r="F66" s="1">
        <v>0.4455439814814815</v>
      </c>
      <c r="G66" s="1">
        <v>0.44601851851851854</v>
      </c>
      <c r="H66" s="1">
        <v>0.44873842592592594</v>
      </c>
      <c r="I66" s="1">
        <v>0.4470486111111111</v>
      </c>
      <c r="J66" s="1">
        <v>0.45148148148148148</v>
      </c>
      <c r="K66" s="1">
        <v>0.45452546296296298</v>
      </c>
      <c r="L66" s="1">
        <v>0.45472222222222225</v>
      </c>
      <c r="M66" s="1">
        <v>0.45626157407407408</v>
      </c>
      <c r="N66" s="1" t="s">
        <v>421</v>
      </c>
      <c r="O66" s="1" t="s">
        <v>34</v>
      </c>
      <c r="P66" s="1" t="s">
        <v>55</v>
      </c>
      <c r="S66" s="1">
        <v>3.1249999999999334E-4</v>
      </c>
      <c r="T66" s="1">
        <v>4.745370370370372E-4</v>
      </c>
      <c r="U66" s="1">
        <v>1.0300925925925686E-3</v>
      </c>
      <c r="V66" s="1">
        <v>2.719907407407407E-3</v>
      </c>
      <c r="W66" s="1">
        <v>2.7430555555555403E-3</v>
      </c>
      <c r="X66" s="1">
        <v>7.4768518518518734E-3</v>
      </c>
      <c r="Y66" s="1">
        <v>8.7037037037037135E-3</v>
      </c>
      <c r="Z66" s="1">
        <v>1.1030092592592577E-2</v>
      </c>
    </row>
    <row r="67" spans="1:26" x14ac:dyDescent="0.25">
      <c r="A67">
        <v>1</v>
      </c>
      <c r="B67" t="s">
        <v>406</v>
      </c>
      <c r="C67" t="s">
        <v>422</v>
      </c>
      <c r="D67">
        <v>2022</v>
      </c>
      <c r="E67" s="1">
        <v>0.46402777777777776</v>
      </c>
      <c r="F67" s="1">
        <v>0.46418981481481481</v>
      </c>
      <c r="G67" s="1">
        <v>0.4649537037037037</v>
      </c>
      <c r="H67" s="1">
        <v>0.46811342592592592</v>
      </c>
      <c r="I67" s="1">
        <v>0.4657175925925926</v>
      </c>
      <c r="J67" s="1">
        <v>0.46993055555555557</v>
      </c>
      <c r="K67" s="1">
        <v>0.47221064814814817</v>
      </c>
      <c r="L67" s="1">
        <v>0.47300925925925924</v>
      </c>
      <c r="M67" s="1">
        <v>0.47450231481481481</v>
      </c>
      <c r="N67" s="1" t="s">
        <v>345</v>
      </c>
      <c r="O67" s="1" t="s">
        <v>34</v>
      </c>
      <c r="P67" s="1" t="s">
        <v>55</v>
      </c>
      <c r="S67" s="1">
        <v>1.6203703703704386E-4</v>
      </c>
      <c r="T67" s="1">
        <v>7.6388888888889728E-4</v>
      </c>
      <c r="U67" s="1">
        <v>7.6388888888889728E-4</v>
      </c>
      <c r="V67" s="1">
        <v>3.1597222222222165E-3</v>
      </c>
      <c r="W67" s="1">
        <v>1.8171296296296546E-3</v>
      </c>
      <c r="X67" s="1">
        <v>6.4930555555555713E-3</v>
      </c>
      <c r="Y67" s="1">
        <v>8.055555555555538E-3</v>
      </c>
      <c r="Z67" s="1">
        <v>1.0474537037037046E-2</v>
      </c>
    </row>
    <row r="68" spans="1:26" x14ac:dyDescent="0.25">
      <c r="A68">
        <v>2</v>
      </c>
      <c r="B68" t="s">
        <v>372</v>
      </c>
      <c r="C68" t="s">
        <v>373</v>
      </c>
      <c r="D68">
        <v>2015</v>
      </c>
      <c r="E68" s="1">
        <v>0.49847222222222221</v>
      </c>
      <c r="F68" s="1">
        <v>0.49866898148148148</v>
      </c>
      <c r="G68" s="1">
        <v>0.4992361111111111</v>
      </c>
      <c r="H68" s="1">
        <v>0.50112268518518521</v>
      </c>
      <c r="I68" s="1">
        <v>0.49986111111111109</v>
      </c>
      <c r="J68" s="1">
        <v>0.50311342592592589</v>
      </c>
      <c r="K68" s="1">
        <v>0.52159722222222227</v>
      </c>
      <c r="L68" s="1">
        <v>0.52231481481481479</v>
      </c>
      <c r="M68" s="1">
        <v>0.52298611111111115</v>
      </c>
      <c r="N68" s="1" t="s">
        <v>423</v>
      </c>
      <c r="O68" s="1" t="s">
        <v>36</v>
      </c>
      <c r="P68" s="1" t="s">
        <v>55</v>
      </c>
      <c r="S68" s="1">
        <v>1.9675925925927151E-4</v>
      </c>
      <c r="T68" s="1">
        <v>5.6712962962962576E-4</v>
      </c>
      <c r="U68" s="1">
        <v>6.2499999999998668E-4</v>
      </c>
      <c r="V68" s="1">
        <v>1.8865740740741099E-3</v>
      </c>
      <c r="W68" s="1">
        <v>1.9907407407406819E-3</v>
      </c>
      <c r="X68" s="1">
        <v>2.1736111111111178E-2</v>
      </c>
      <c r="Y68" s="1">
        <v>2.3078703703703685E-2</v>
      </c>
      <c r="Z68" s="1">
        <v>2.4513888888888946E-2</v>
      </c>
    </row>
    <row r="69" spans="1:26" x14ac:dyDescent="0.25">
      <c r="A69">
        <v>1</v>
      </c>
      <c r="B69" t="s">
        <v>380</v>
      </c>
      <c r="C69" t="s">
        <v>426</v>
      </c>
      <c r="D69">
        <v>2018</v>
      </c>
      <c r="E69" s="1">
        <v>0.5367939814814815</v>
      </c>
      <c r="F69" s="1">
        <v>0.53693287037037041</v>
      </c>
      <c r="G69" s="1">
        <v>0.53765046296296293</v>
      </c>
      <c r="H69" s="1">
        <v>0.54181712962962958</v>
      </c>
      <c r="I69" s="1">
        <v>0.53870370370370368</v>
      </c>
      <c r="J69" s="1">
        <v>0.54369212962962965</v>
      </c>
      <c r="K69" s="1">
        <v>0.55354166666666671</v>
      </c>
      <c r="L69" s="1">
        <v>0.55379629629629634</v>
      </c>
      <c r="M69" s="1">
        <v>0.55457175925925928</v>
      </c>
      <c r="N69" s="1" t="s">
        <v>343</v>
      </c>
      <c r="O69" s="1" t="s">
        <v>34</v>
      </c>
      <c r="P69" s="1" t="s">
        <v>55</v>
      </c>
      <c r="S69" s="1">
        <v>1.388888888889106E-4</v>
      </c>
      <c r="T69" s="1">
        <v>7.1759259259251973E-4</v>
      </c>
      <c r="U69" s="1">
        <v>1.0532407407407574E-3</v>
      </c>
      <c r="V69" s="1">
        <v>4.1666666666666519E-3</v>
      </c>
      <c r="W69" s="1">
        <v>1.8750000000000711E-3</v>
      </c>
      <c r="X69" s="1">
        <v>1.4837962962963025E-2</v>
      </c>
      <c r="Y69" s="1">
        <v>1.6145833333333415E-2</v>
      </c>
      <c r="Z69" s="1">
        <v>1.7777777777777781E-2</v>
      </c>
    </row>
    <row r="70" spans="1:26" x14ac:dyDescent="0.25">
      <c r="A70">
        <v>2</v>
      </c>
      <c r="B70" t="s">
        <v>38</v>
      </c>
      <c r="C70" t="s">
        <v>21</v>
      </c>
      <c r="D70">
        <v>2016</v>
      </c>
      <c r="E70" s="1">
        <v>0.55157407407407411</v>
      </c>
      <c r="F70" s="1">
        <v>0.55173611111111109</v>
      </c>
      <c r="G70" s="1">
        <v>0.55287037037037035</v>
      </c>
      <c r="H70" s="1">
        <v>0.55630787037037033</v>
      </c>
      <c r="I70" s="1">
        <v>0.55376157407407411</v>
      </c>
      <c r="J70" s="1">
        <v>0.5574189814814815</v>
      </c>
      <c r="K70" s="1">
        <v>0.56114583333333334</v>
      </c>
      <c r="L70" s="1">
        <v>0.56201388888888892</v>
      </c>
      <c r="M70" s="1">
        <v>0.57059027777777782</v>
      </c>
      <c r="N70" s="1" t="s">
        <v>427</v>
      </c>
      <c r="O70" s="1" t="s">
        <v>36</v>
      </c>
      <c r="P70" s="1" t="s">
        <v>55</v>
      </c>
      <c r="S70" s="1">
        <v>1.6203703703698835E-4</v>
      </c>
      <c r="T70" s="1">
        <v>1.1342592592592515E-3</v>
      </c>
      <c r="U70" s="1">
        <v>8.91203703703769E-4</v>
      </c>
      <c r="V70" s="1">
        <v>3.4374999999999822E-3</v>
      </c>
      <c r="W70" s="1">
        <v>1.1111111111111738E-3</v>
      </c>
      <c r="X70" s="1">
        <v>7.3842592592592293E-3</v>
      </c>
      <c r="Y70" s="1">
        <v>9.1435185185185786E-3</v>
      </c>
      <c r="Z70" s="1">
        <v>1.9016203703703716E-2</v>
      </c>
    </row>
    <row r="71" spans="1:26" x14ac:dyDescent="0.25">
      <c r="A71">
        <v>1</v>
      </c>
      <c r="B71" t="s">
        <v>38</v>
      </c>
      <c r="C71" t="s">
        <v>432</v>
      </c>
      <c r="D71">
        <v>2017</v>
      </c>
      <c r="E71" s="1">
        <v>0.59949074074074071</v>
      </c>
      <c r="F71" s="1">
        <v>0.59965277777777781</v>
      </c>
      <c r="G71" s="1">
        <v>0.60040509259259256</v>
      </c>
      <c r="H71" s="1">
        <v>0.60206018518518523</v>
      </c>
      <c r="I71" s="1">
        <v>0.60106481481481477</v>
      </c>
      <c r="J71" s="1">
        <v>0.60613425925925923</v>
      </c>
      <c r="K71" s="1">
        <v>0.61171296296296296</v>
      </c>
      <c r="L71" s="1">
        <v>0.61221064814814818</v>
      </c>
      <c r="M71" s="1">
        <v>0.61325231481481479</v>
      </c>
      <c r="N71" s="1" t="s">
        <v>433</v>
      </c>
      <c r="O71" s="1" t="s">
        <v>33</v>
      </c>
      <c r="P71" s="1" t="s">
        <v>55</v>
      </c>
      <c r="S71" s="1">
        <v>1.6203703703709937E-4</v>
      </c>
      <c r="T71" s="1">
        <v>7.5231481481474738E-4</v>
      </c>
      <c r="U71" s="1">
        <v>6.5972222222221433E-4</v>
      </c>
      <c r="V71" s="1">
        <v>1.6550925925926663E-3</v>
      </c>
      <c r="W71" s="1">
        <v>4.0740740740740078E-3</v>
      </c>
      <c r="X71" s="1">
        <v>1.0648148148148184E-2</v>
      </c>
      <c r="Y71" s="1">
        <v>1.1805555555555625E-2</v>
      </c>
      <c r="Z71" s="1">
        <v>1.3761574074074079E-2</v>
      </c>
    </row>
    <row r="72" spans="1:26" x14ac:dyDescent="0.25">
      <c r="A72">
        <v>1</v>
      </c>
      <c r="B72" t="s">
        <v>38</v>
      </c>
      <c r="C72" t="s">
        <v>435</v>
      </c>
      <c r="D72">
        <v>2014</v>
      </c>
      <c r="E72" s="1">
        <v>0.62343749999999998</v>
      </c>
      <c r="F72" s="1">
        <v>0.62372685185185184</v>
      </c>
      <c r="G72" s="1">
        <v>0.62435185185185182</v>
      </c>
      <c r="H72" s="1">
        <v>0.62656250000000002</v>
      </c>
      <c r="I72" s="1">
        <v>0.62525462962962963</v>
      </c>
      <c r="J72" s="1">
        <v>0.62964120370370369</v>
      </c>
      <c r="K72" s="1">
        <v>0.63143518518518515</v>
      </c>
      <c r="L72" s="1">
        <v>0.63233796296296296</v>
      </c>
      <c r="M72" s="1">
        <v>0.63354166666666667</v>
      </c>
      <c r="N72" s="1" t="s">
        <v>343</v>
      </c>
      <c r="O72" s="1" t="s">
        <v>33</v>
      </c>
      <c r="P72" s="1" t="s">
        <v>55</v>
      </c>
      <c r="S72" s="1">
        <v>2.8935185185186008E-4</v>
      </c>
      <c r="T72" s="1">
        <v>6.2499999999998668E-4</v>
      </c>
      <c r="U72" s="1">
        <v>9.0277777777780788E-4</v>
      </c>
      <c r="V72" s="1">
        <v>2.2106481481481977E-3</v>
      </c>
      <c r="W72" s="1">
        <v>3.0787037037036669E-3</v>
      </c>
      <c r="X72" s="1">
        <v>6.1805555555555225E-3</v>
      </c>
      <c r="Y72" s="1">
        <v>7.9861111111111382E-3</v>
      </c>
      <c r="Z72" s="1">
        <v>1.0104166666666692E-2</v>
      </c>
    </row>
    <row r="73" spans="1:26" x14ac:dyDescent="0.25">
      <c r="A73">
        <v>2</v>
      </c>
      <c r="B73" t="s">
        <v>322</v>
      </c>
      <c r="C73" t="s">
        <v>437</v>
      </c>
      <c r="D73">
        <v>2023</v>
      </c>
      <c r="E73" s="1">
        <v>0.63275462962962958</v>
      </c>
      <c r="F73" s="1">
        <v>0.633275462962963</v>
      </c>
      <c r="G73" s="1">
        <v>0.63451388888888893</v>
      </c>
      <c r="H73" s="1">
        <v>0.63710648148148152</v>
      </c>
      <c r="I73" s="1">
        <v>0.635162037037037</v>
      </c>
      <c r="J73" s="1">
        <v>0.63710648148148152</v>
      </c>
      <c r="K73" s="1">
        <v>0.64571759259259254</v>
      </c>
      <c r="L73" s="1">
        <v>0.64628472222222222</v>
      </c>
      <c r="M73" s="1">
        <v>0.65708333333333335</v>
      </c>
      <c r="N73" s="1" t="s">
        <v>438</v>
      </c>
      <c r="O73" s="1" t="s">
        <v>36</v>
      </c>
      <c r="P73" s="1" t="s">
        <v>55</v>
      </c>
      <c r="S73" s="1">
        <v>5.2083333333341475E-4</v>
      </c>
      <c r="T73" s="1">
        <v>1.2384259259259345E-3</v>
      </c>
      <c r="U73" s="1">
        <v>6.4814814814806443E-4</v>
      </c>
      <c r="V73" s="1">
        <v>2.5925925925925908E-3</v>
      </c>
      <c r="W73" s="1">
        <v>0</v>
      </c>
      <c r="X73" s="1">
        <v>1.055555555555554E-2</v>
      </c>
      <c r="Y73" s="1">
        <v>1.1770833333333286E-2</v>
      </c>
      <c r="Z73" s="1">
        <v>2.4328703703703769E-2</v>
      </c>
    </row>
    <row r="74" spans="1:26" x14ac:dyDescent="0.25">
      <c r="A74">
        <v>1</v>
      </c>
      <c r="B74" t="s">
        <v>372</v>
      </c>
      <c r="C74" t="s">
        <v>373</v>
      </c>
      <c r="D74">
        <v>2015</v>
      </c>
      <c r="E74" s="1">
        <v>0.64446759259259256</v>
      </c>
      <c r="F74" s="1">
        <v>0.64462962962962966</v>
      </c>
      <c r="G74" s="1">
        <v>0.64659722222222227</v>
      </c>
      <c r="H74" s="1">
        <v>0.65341435185185182</v>
      </c>
      <c r="I74" s="1">
        <v>0.64726851851851852</v>
      </c>
      <c r="J74" s="1">
        <v>0.65643518518518518</v>
      </c>
      <c r="K74" s="1">
        <v>0.66060185185185183</v>
      </c>
      <c r="L74" s="1">
        <v>0.67020833333333329</v>
      </c>
      <c r="M74" s="1">
        <v>0.67962962962962958</v>
      </c>
      <c r="N74" s="1" t="s">
        <v>439</v>
      </c>
      <c r="O74" s="1" t="s">
        <v>36</v>
      </c>
      <c r="P74" s="1" t="s">
        <v>55</v>
      </c>
      <c r="S74" s="1">
        <v>1.6203703703709937E-4</v>
      </c>
      <c r="T74" s="1">
        <v>1.9675925925926041E-3</v>
      </c>
      <c r="U74" s="1">
        <v>6.712962962962532E-4</v>
      </c>
      <c r="V74" s="1">
        <v>6.817129629629548E-3</v>
      </c>
      <c r="W74" s="1">
        <v>3.0208333333333615E-3</v>
      </c>
      <c r="X74" s="1">
        <v>1.3333333333333308E-2</v>
      </c>
      <c r="Y74" s="1">
        <v>2.3611111111111027E-2</v>
      </c>
      <c r="Z74" s="1">
        <v>3.5162037037037019E-2</v>
      </c>
    </row>
    <row r="75" spans="1:26" x14ac:dyDescent="0.25">
      <c r="A75">
        <v>3</v>
      </c>
      <c r="B75" t="s">
        <v>8</v>
      </c>
      <c r="C75" t="s">
        <v>443</v>
      </c>
      <c r="D75">
        <v>2015</v>
      </c>
      <c r="E75" s="1">
        <v>0.65965277777777775</v>
      </c>
      <c r="F75" s="1">
        <v>0.65990740740740739</v>
      </c>
      <c r="G75" s="1">
        <v>0.66052083333333333</v>
      </c>
      <c r="H75" s="1">
        <v>0.66574074074074074</v>
      </c>
      <c r="I75" s="1">
        <v>0.66122685185185182</v>
      </c>
      <c r="J75" s="1">
        <v>0.66702546296296295</v>
      </c>
      <c r="K75" s="1">
        <v>0.67017361111111107</v>
      </c>
      <c r="L75" s="1">
        <v>0.67184027777777777</v>
      </c>
      <c r="M75" s="1">
        <v>0.67256944444444444</v>
      </c>
      <c r="N75" s="1" t="s">
        <v>365</v>
      </c>
      <c r="O75" s="1" t="s">
        <v>33</v>
      </c>
      <c r="P75" s="1" t="s">
        <v>55</v>
      </c>
      <c r="S75" s="1">
        <v>2.5462962962963243E-4</v>
      </c>
      <c r="T75" s="1">
        <v>6.134259259259478E-4</v>
      </c>
      <c r="U75" s="1">
        <v>7.0601851851848085E-4</v>
      </c>
      <c r="V75" s="1">
        <v>5.2199074074074092E-3</v>
      </c>
      <c r="W75" s="1">
        <v>1.284722222222201E-3</v>
      </c>
      <c r="X75" s="1">
        <v>8.9467592592592515E-3</v>
      </c>
      <c r="Y75" s="1">
        <v>1.1319444444444438E-2</v>
      </c>
      <c r="Z75" s="1">
        <v>1.2916666666666687E-2</v>
      </c>
    </row>
    <row r="76" spans="1:26" x14ac:dyDescent="0.25">
      <c r="A76">
        <v>3</v>
      </c>
      <c r="B76" t="s">
        <v>38</v>
      </c>
      <c r="C76" t="s">
        <v>447</v>
      </c>
      <c r="D76">
        <v>2007</v>
      </c>
      <c r="E76" s="1">
        <v>0.67031249999999998</v>
      </c>
      <c r="F76" s="1">
        <v>0.6706481481481481</v>
      </c>
      <c r="G76" s="1">
        <v>0.6724768518518518</v>
      </c>
      <c r="H76" s="1">
        <v>0.67797453703703703</v>
      </c>
      <c r="I76" s="1">
        <v>0.67402777777777778</v>
      </c>
      <c r="J76" s="1">
        <v>0.68068287037037034</v>
      </c>
      <c r="K76" s="1">
        <v>0.68410879629629628</v>
      </c>
      <c r="L76" s="1">
        <v>0.68464120370370374</v>
      </c>
      <c r="M76" s="1">
        <v>0.6862731481481481</v>
      </c>
      <c r="N76" s="1" t="s">
        <v>352</v>
      </c>
      <c r="O76" s="1" t="s">
        <v>34</v>
      </c>
      <c r="P76" s="1" t="s">
        <v>55</v>
      </c>
      <c r="S76" s="1">
        <v>3.356481481481266E-4</v>
      </c>
      <c r="T76" s="1">
        <v>1.8287037037036935E-3</v>
      </c>
      <c r="U76" s="1">
        <v>1.5509259259259833E-3</v>
      </c>
      <c r="V76" s="1">
        <v>5.4976851851852304E-3</v>
      </c>
      <c r="W76" s="1">
        <v>2.7083333333333126E-3</v>
      </c>
      <c r="X76" s="1">
        <v>1.0081018518518503E-2</v>
      </c>
      <c r="Y76" s="1">
        <v>1.216435185185194E-2</v>
      </c>
      <c r="Z76" s="1">
        <v>1.5960648148148127E-2</v>
      </c>
    </row>
    <row r="77" spans="1:26" x14ac:dyDescent="0.25">
      <c r="A77">
        <v>1</v>
      </c>
      <c r="B77" t="s">
        <v>390</v>
      </c>
      <c r="C77" t="s">
        <v>448</v>
      </c>
      <c r="D77">
        <v>2006</v>
      </c>
      <c r="E77" s="1">
        <v>0.68559027777777781</v>
      </c>
      <c r="F77" s="1">
        <v>0.68582175925925926</v>
      </c>
      <c r="G77" s="1">
        <v>0.68668981481481484</v>
      </c>
      <c r="H77" s="1">
        <v>0.68868055555555552</v>
      </c>
      <c r="I77" s="1">
        <v>0.6872800925925926</v>
      </c>
      <c r="J77" s="1">
        <v>0.69103009259259263</v>
      </c>
      <c r="K77" s="1">
        <v>0.69399305555555557</v>
      </c>
      <c r="L77" s="1">
        <v>0.69457175925925929</v>
      </c>
      <c r="M77" s="1">
        <v>0.69634259259259257</v>
      </c>
      <c r="N77" s="1" t="s">
        <v>449</v>
      </c>
      <c r="O77" s="1" t="s">
        <v>33</v>
      </c>
      <c r="P77" s="1" t="s">
        <v>55</v>
      </c>
      <c r="S77" s="1">
        <v>2.3148148148144365E-4</v>
      </c>
      <c r="T77" s="1">
        <v>8.6805555555558023E-4</v>
      </c>
      <c r="U77" s="1">
        <v>5.9027777777775903E-4</v>
      </c>
      <c r="V77" s="1">
        <v>1.9907407407406819E-3</v>
      </c>
      <c r="W77" s="1">
        <v>2.3495370370371083E-3</v>
      </c>
      <c r="X77" s="1">
        <v>6.7129629629629761E-3</v>
      </c>
      <c r="Y77" s="1">
        <v>7.8819444444444553E-3</v>
      </c>
      <c r="Z77" s="1">
        <v>1.0752314814814756E-2</v>
      </c>
    </row>
    <row r="78" spans="1:26" x14ac:dyDescent="0.25">
      <c r="A78">
        <v>1</v>
      </c>
      <c r="B78" t="s">
        <v>38</v>
      </c>
      <c r="C78" t="s">
        <v>412</v>
      </c>
      <c r="D78">
        <v>2017</v>
      </c>
      <c r="E78" s="1">
        <v>0.70531250000000001</v>
      </c>
      <c r="F78" s="1">
        <v>0.705474537037037</v>
      </c>
      <c r="G78" s="1">
        <v>0.7065393518518519</v>
      </c>
      <c r="H78" s="1">
        <v>0.70910879629629631</v>
      </c>
      <c r="I78" s="1">
        <v>0.70817129629629627</v>
      </c>
      <c r="J78" s="1">
        <v>0.7123032407407407</v>
      </c>
      <c r="K78" s="1">
        <v>0.71476851851851853</v>
      </c>
      <c r="L78" s="1">
        <v>0.71534722222222225</v>
      </c>
      <c r="M78" s="1">
        <v>0.71619212962962964</v>
      </c>
      <c r="N78" s="1" t="s">
        <v>450</v>
      </c>
      <c r="O78" s="1" t="s">
        <v>34</v>
      </c>
      <c r="P78" s="1" t="s">
        <v>55</v>
      </c>
      <c r="S78" s="1">
        <v>1.6203703703698835E-4</v>
      </c>
      <c r="T78" s="1">
        <v>1.0648148148149073E-3</v>
      </c>
      <c r="U78" s="1">
        <v>1.6319444444443665E-3</v>
      </c>
      <c r="V78" s="1">
        <v>2.569444444444402E-3</v>
      </c>
      <c r="W78" s="1">
        <v>3.1944444444443887E-3</v>
      </c>
      <c r="X78" s="1">
        <v>6.5972222222222543E-3</v>
      </c>
      <c r="Y78" s="1">
        <v>8.8078703703703409E-3</v>
      </c>
      <c r="Z78" s="1">
        <v>1.0879629629629628E-2</v>
      </c>
    </row>
    <row r="79" spans="1:26" x14ac:dyDescent="0.25">
      <c r="A79">
        <v>1</v>
      </c>
      <c r="B79" t="s">
        <v>322</v>
      </c>
      <c r="C79" t="s">
        <v>454</v>
      </c>
      <c r="D79">
        <v>2003</v>
      </c>
      <c r="E79" s="1">
        <v>0.75190972222222219</v>
      </c>
      <c r="F79" s="1">
        <v>0.75209490740740736</v>
      </c>
      <c r="G79" s="1">
        <v>0.75363425925925931</v>
      </c>
      <c r="H79" s="1">
        <v>0.75628472222222221</v>
      </c>
      <c r="I79" s="1">
        <v>0.75468749999999996</v>
      </c>
      <c r="J79" s="1">
        <v>0.75714120370370375</v>
      </c>
      <c r="K79" s="1">
        <v>0.76202546296296292</v>
      </c>
      <c r="L79" s="1">
        <v>0.76228009259259255</v>
      </c>
      <c r="M79" s="1">
        <v>0.76515046296296296</v>
      </c>
      <c r="N79" s="1" t="s">
        <v>54</v>
      </c>
      <c r="O79" s="1" t="s">
        <v>34</v>
      </c>
      <c r="P79" s="1" t="s">
        <v>55</v>
      </c>
      <c r="S79" s="1">
        <v>1.8518518518517713E-4</v>
      </c>
      <c r="T79" s="1">
        <v>1.5393518518519445E-3</v>
      </c>
      <c r="U79" s="1">
        <v>1.0532407407406463E-3</v>
      </c>
      <c r="V79" s="1">
        <v>2.6504629629628962E-3</v>
      </c>
      <c r="W79" s="1">
        <v>8.5648148148154135E-4</v>
      </c>
      <c r="X79" s="1">
        <v>7.3379629629629628E-3</v>
      </c>
      <c r="Y79" s="1">
        <v>8.6458333333332416E-3</v>
      </c>
      <c r="Z79" s="1">
        <v>1.3240740740740775E-2</v>
      </c>
    </row>
    <row r="80" spans="1:26" x14ac:dyDescent="0.25">
      <c r="A80">
        <v>2</v>
      </c>
      <c r="B80" t="s">
        <v>38</v>
      </c>
      <c r="C80" t="s">
        <v>455</v>
      </c>
      <c r="D80">
        <v>2021</v>
      </c>
      <c r="E80" s="1">
        <v>0.75312500000000004</v>
      </c>
      <c r="F80" s="1">
        <v>0.75327546296296299</v>
      </c>
      <c r="G80" s="1">
        <v>0.75511574074074073</v>
      </c>
      <c r="H80" s="1">
        <v>0.75688657407407411</v>
      </c>
      <c r="I80" s="1">
        <v>0.75581018518518517</v>
      </c>
      <c r="J80" s="1">
        <v>0.75944444444444448</v>
      </c>
      <c r="K80" s="1">
        <v>0.76337962962962957</v>
      </c>
      <c r="L80" s="1">
        <v>0.76437500000000003</v>
      </c>
      <c r="M80" s="1">
        <v>0.766087962962963</v>
      </c>
      <c r="N80" s="1" t="s">
        <v>54</v>
      </c>
      <c r="O80" s="1" t="s">
        <v>34</v>
      </c>
      <c r="P80" s="1" t="s">
        <v>55</v>
      </c>
      <c r="S80" s="1">
        <v>1.5046296296294948E-4</v>
      </c>
      <c r="T80" s="1">
        <v>1.8402777777777324E-3</v>
      </c>
      <c r="U80" s="1">
        <v>6.9444444444444198E-4</v>
      </c>
      <c r="V80" s="1">
        <v>1.7708333333333881E-3</v>
      </c>
      <c r="W80" s="1">
        <v>2.5578703703703631E-3</v>
      </c>
      <c r="X80" s="1">
        <v>7.5694444444444065E-3</v>
      </c>
      <c r="Y80" s="1">
        <v>9.2592592592593004E-3</v>
      </c>
      <c r="Z80" s="1">
        <v>1.2962962962962954E-2</v>
      </c>
    </row>
    <row r="81" spans="1:26" x14ac:dyDescent="0.25">
      <c r="A81">
        <v>2</v>
      </c>
      <c r="B81" t="s">
        <v>406</v>
      </c>
      <c r="C81" t="s">
        <v>457</v>
      </c>
      <c r="D81">
        <v>2017</v>
      </c>
      <c r="E81" s="1">
        <v>0.41369212962962965</v>
      </c>
      <c r="F81" s="1">
        <v>0.41388888888888886</v>
      </c>
      <c r="G81" s="1">
        <v>0.41465277777777776</v>
      </c>
      <c r="H81" s="1">
        <v>0.41706018518518517</v>
      </c>
      <c r="I81" s="1">
        <v>0.41550925925925924</v>
      </c>
      <c r="J81" s="1">
        <v>0.41834490740740743</v>
      </c>
      <c r="K81" s="1">
        <v>0.42170138888888886</v>
      </c>
      <c r="L81" s="1">
        <v>0.42298611111111112</v>
      </c>
      <c r="M81" s="1">
        <v>0.42181712962962964</v>
      </c>
      <c r="N81" s="1" t="s">
        <v>458</v>
      </c>
      <c r="O81" s="1" t="s">
        <v>34</v>
      </c>
      <c r="P81" s="1" t="s">
        <v>55</v>
      </c>
      <c r="S81" s="1">
        <v>1.96759259259216E-4</v>
      </c>
      <c r="T81" s="1">
        <v>7.6388888888889728E-4</v>
      </c>
      <c r="U81" s="1">
        <v>8.5648148148148584E-4</v>
      </c>
      <c r="V81" s="1">
        <v>2.4074074074074137E-3</v>
      </c>
      <c r="W81" s="1">
        <v>1.2847222222222565E-3</v>
      </c>
      <c r="X81" s="1">
        <v>6.1921296296296169E-3</v>
      </c>
      <c r="Y81" s="1">
        <v>8.3333333333333592E-3</v>
      </c>
      <c r="Z81" s="1">
        <v>8.1249999999999933E-3</v>
      </c>
    </row>
    <row r="82" spans="1:26" x14ac:dyDescent="0.25">
      <c r="A82">
        <v>1</v>
      </c>
      <c r="B82" t="s">
        <v>393</v>
      </c>
      <c r="C82" t="s">
        <v>353</v>
      </c>
      <c r="D82">
        <v>2014</v>
      </c>
      <c r="E82" s="1">
        <v>0.42466435185185186</v>
      </c>
      <c r="F82" s="1">
        <v>0.42481481481481481</v>
      </c>
      <c r="G82" s="1">
        <v>0.42563657407407407</v>
      </c>
      <c r="H82" s="1">
        <v>0.42748842592592595</v>
      </c>
      <c r="I82" s="1">
        <v>0.42662037037037037</v>
      </c>
      <c r="J82" s="1">
        <v>0.42936342592592591</v>
      </c>
      <c r="K82" s="1">
        <v>0.43253472222222222</v>
      </c>
      <c r="L82" s="1">
        <v>0.43290509259259258</v>
      </c>
      <c r="M82" s="1">
        <v>0.43377314814814816</v>
      </c>
      <c r="N82" s="1" t="s">
        <v>333</v>
      </c>
      <c r="O82" s="1" t="s">
        <v>34</v>
      </c>
      <c r="P82" s="1" t="s">
        <v>55</v>
      </c>
      <c r="S82" s="1">
        <v>1.5046296296294948E-4</v>
      </c>
      <c r="T82" s="1">
        <v>8.2175925925925819E-4</v>
      </c>
      <c r="U82" s="1">
        <v>9.8379629629630205E-4</v>
      </c>
      <c r="V82" s="1">
        <v>1.8518518518518823E-3</v>
      </c>
      <c r="W82" s="1">
        <v>1.87499999999996E-3</v>
      </c>
      <c r="X82" s="1">
        <v>5.9143518518518512E-3</v>
      </c>
      <c r="Y82" s="1">
        <v>7.2685185185185075E-3</v>
      </c>
      <c r="Z82" s="1">
        <v>9.1087962962962954E-3</v>
      </c>
    </row>
    <row r="83" spans="1:26" x14ac:dyDescent="0.25">
      <c r="A83">
        <v>2</v>
      </c>
      <c r="B83" t="s">
        <v>8</v>
      </c>
      <c r="C83" t="s">
        <v>385</v>
      </c>
      <c r="D83">
        <v>2020</v>
      </c>
      <c r="E83" s="1">
        <v>0.53275462962962961</v>
      </c>
      <c r="F83" s="1">
        <v>0.53290509259259256</v>
      </c>
      <c r="G83" s="1">
        <v>0.53435185185185186</v>
      </c>
      <c r="H83" s="1">
        <v>0.53751157407407413</v>
      </c>
      <c r="I83" s="1">
        <v>0.53585648148148146</v>
      </c>
      <c r="J83" s="1">
        <v>0.5392824074074074</v>
      </c>
      <c r="K83" s="1">
        <v>0.5481018518518519</v>
      </c>
      <c r="L83" s="1">
        <v>0.55062500000000003</v>
      </c>
      <c r="M83" s="1">
        <v>0.55256944444444445</v>
      </c>
      <c r="N83" s="1" t="s">
        <v>459</v>
      </c>
      <c r="O83" s="1" t="s">
        <v>34</v>
      </c>
      <c r="P83" s="1" t="s">
        <v>55</v>
      </c>
      <c r="S83" s="1">
        <v>1.5046296296294948E-4</v>
      </c>
      <c r="T83" s="1">
        <v>1.4467592592593004E-3</v>
      </c>
      <c r="U83" s="1">
        <v>1.5046296296296058E-3</v>
      </c>
      <c r="V83" s="1">
        <v>3.1597222222222721E-3</v>
      </c>
      <c r="W83" s="1">
        <v>1.7708333333332771E-3</v>
      </c>
      <c r="X83" s="1">
        <v>1.2245370370370434E-2</v>
      </c>
      <c r="Y83" s="1">
        <v>1.6273148148148175E-2</v>
      </c>
      <c r="Z83" s="1">
        <v>1.9814814814814841E-2</v>
      </c>
    </row>
    <row r="84" spans="1:26" x14ac:dyDescent="0.25">
      <c r="A84">
        <v>3</v>
      </c>
      <c r="B84" t="s">
        <v>38</v>
      </c>
      <c r="C84" t="s">
        <v>447</v>
      </c>
      <c r="D84">
        <v>2013</v>
      </c>
      <c r="E84" s="1">
        <v>0.53600694444444441</v>
      </c>
      <c r="F84" s="1">
        <v>0.53615740740740736</v>
      </c>
      <c r="G84" s="1">
        <v>0.53792824074074075</v>
      </c>
      <c r="H84" s="1">
        <v>0.5410300925925926</v>
      </c>
      <c r="I84" s="1">
        <v>0.53946759259259258</v>
      </c>
      <c r="J84" s="1">
        <v>0.54508101851851853</v>
      </c>
      <c r="K84" s="1">
        <v>0.55436342592592591</v>
      </c>
      <c r="L84" s="1">
        <v>0.55533564814814818</v>
      </c>
      <c r="M84" s="1">
        <v>0.55770833333333336</v>
      </c>
      <c r="N84" s="1" t="s">
        <v>54</v>
      </c>
      <c r="O84" s="1" t="s">
        <v>34</v>
      </c>
      <c r="P84" s="1" t="s">
        <v>55</v>
      </c>
      <c r="S84" s="1">
        <v>1.5046296296294948E-4</v>
      </c>
      <c r="T84" s="1">
        <v>1.7708333333333881E-3</v>
      </c>
      <c r="U84" s="1">
        <v>1.5393518518518334E-3</v>
      </c>
      <c r="V84" s="1">
        <v>3.1018518518518556E-3</v>
      </c>
      <c r="W84" s="1">
        <v>4.05092592592593E-3</v>
      </c>
      <c r="X84" s="1">
        <v>1.489583333333333E-2</v>
      </c>
      <c r="Y84" s="1">
        <v>1.7407407407407427E-2</v>
      </c>
      <c r="Z84" s="1">
        <v>2.1701388888888951E-2</v>
      </c>
    </row>
    <row r="85" spans="1:26" x14ac:dyDescent="0.25">
      <c r="A85">
        <v>4</v>
      </c>
      <c r="B85" t="s">
        <v>374</v>
      </c>
      <c r="C85" t="s">
        <v>460</v>
      </c>
      <c r="D85">
        <v>2015</v>
      </c>
      <c r="E85" s="1">
        <v>0.541412037037037</v>
      </c>
      <c r="F85" s="1">
        <v>0.54159722222222217</v>
      </c>
      <c r="G85" s="1">
        <v>0.54233796296296299</v>
      </c>
      <c r="H85" s="1">
        <v>0.54689814814814819</v>
      </c>
      <c r="I85" s="1">
        <v>0.54348379629629628</v>
      </c>
      <c r="J85" s="1">
        <v>0.54689814814814819</v>
      </c>
      <c r="K85" s="1">
        <v>0.55589120370370371</v>
      </c>
      <c r="L85" s="1">
        <v>0.57148148148148148</v>
      </c>
      <c r="M85" s="1">
        <v>0.59429398148148149</v>
      </c>
      <c r="N85" s="1" t="s">
        <v>461</v>
      </c>
      <c r="O85" s="1" t="s">
        <v>34</v>
      </c>
      <c r="P85" s="1" t="s">
        <v>55</v>
      </c>
      <c r="S85" s="1">
        <v>1.8518518518517713E-4</v>
      </c>
      <c r="T85" s="1">
        <v>7.4074074074081953E-4</v>
      </c>
      <c r="U85" s="1">
        <v>1.1458333333332904E-3</v>
      </c>
      <c r="V85" s="1">
        <v>4.5601851851851949E-3</v>
      </c>
      <c r="W85" s="1">
        <v>0</v>
      </c>
      <c r="X85" s="1">
        <v>1.2407407407407423E-2</v>
      </c>
      <c r="Y85" s="1">
        <v>2.9143518518518485E-2</v>
      </c>
      <c r="Z85" s="1">
        <v>5.2881944444444495E-2</v>
      </c>
    </row>
    <row r="86" spans="1:26" x14ac:dyDescent="0.25">
      <c r="A86">
        <v>2</v>
      </c>
      <c r="B86" t="s">
        <v>8</v>
      </c>
      <c r="C86" t="s">
        <v>383</v>
      </c>
      <c r="D86">
        <v>2010</v>
      </c>
      <c r="E86" s="1">
        <v>0.5543865740740741</v>
      </c>
      <c r="F86" s="1">
        <v>0.55474537037037042</v>
      </c>
      <c r="G86" s="1">
        <v>0.55612268518518515</v>
      </c>
      <c r="H86" s="1">
        <v>0.56155092592592593</v>
      </c>
      <c r="I86" s="1">
        <v>0.55743055555555554</v>
      </c>
      <c r="J86" s="1">
        <v>0.56739583333333332</v>
      </c>
      <c r="K86" s="1">
        <v>0.57517361111111109</v>
      </c>
      <c r="L86" s="1">
        <v>0.57655092592592594</v>
      </c>
      <c r="M86" s="1">
        <v>0.57829861111111114</v>
      </c>
      <c r="N86" s="1" t="s">
        <v>462</v>
      </c>
      <c r="O86" s="1" t="s">
        <v>36</v>
      </c>
      <c r="P86" s="1" t="s">
        <v>55</v>
      </c>
      <c r="S86" s="1">
        <v>3.5879629629631538E-4</v>
      </c>
      <c r="T86" s="1">
        <v>1.3773148148147341E-3</v>
      </c>
      <c r="U86" s="1">
        <v>1.3078703703703898E-3</v>
      </c>
      <c r="V86" s="1">
        <v>5.4282407407407751E-3</v>
      </c>
      <c r="W86" s="1">
        <v>5.8449074074073959E-3</v>
      </c>
      <c r="X86" s="1">
        <v>1.7743055555555554E-2</v>
      </c>
      <c r="Y86" s="1">
        <v>2.0428240740740788E-2</v>
      </c>
      <c r="Z86" s="1">
        <v>2.3912037037037037E-2</v>
      </c>
    </row>
    <row r="87" spans="1:26" x14ac:dyDescent="0.25">
      <c r="A87">
        <v>2</v>
      </c>
      <c r="B87" t="s">
        <v>322</v>
      </c>
      <c r="C87" t="s">
        <v>405</v>
      </c>
      <c r="D87">
        <v>2015</v>
      </c>
      <c r="E87" s="1">
        <v>0.60537037037037034</v>
      </c>
      <c r="F87" s="1">
        <v>0.60563657407407412</v>
      </c>
      <c r="G87" s="1">
        <v>0.60677083333333337</v>
      </c>
      <c r="H87" s="1">
        <v>0.60944444444444446</v>
      </c>
      <c r="I87" s="1">
        <v>0.60751157407407408</v>
      </c>
      <c r="J87" s="1">
        <v>0.61109953703703701</v>
      </c>
      <c r="K87" s="1">
        <v>0.61527777777777781</v>
      </c>
      <c r="L87" s="1">
        <v>0.61611111111111116</v>
      </c>
      <c r="M87" s="1">
        <v>0.62015046296296295</v>
      </c>
      <c r="N87" s="1" t="s">
        <v>54</v>
      </c>
      <c r="O87" s="1" t="s">
        <v>34</v>
      </c>
      <c r="P87" s="1" t="s">
        <v>55</v>
      </c>
      <c r="S87" s="1">
        <v>2.6620370370378232E-4</v>
      </c>
      <c r="T87" s="1">
        <v>1.1342592592592515E-3</v>
      </c>
      <c r="U87" s="1">
        <v>7.407407407407085E-4</v>
      </c>
      <c r="V87" s="1">
        <v>2.673611111111085E-3</v>
      </c>
      <c r="W87" s="1">
        <v>1.6550925925925553E-3</v>
      </c>
      <c r="X87" s="1">
        <v>7.7662037037037335E-3</v>
      </c>
      <c r="Y87" s="1">
        <v>9.3402777777777946E-3</v>
      </c>
      <c r="Z87" s="1">
        <v>1.4780092592592609E-2</v>
      </c>
    </row>
    <row r="88" spans="1:26" x14ac:dyDescent="0.25">
      <c r="A88">
        <v>1</v>
      </c>
      <c r="B88" t="s">
        <v>8</v>
      </c>
      <c r="C88" t="s">
        <v>466</v>
      </c>
      <c r="D88">
        <v>2013</v>
      </c>
      <c r="E88" s="1">
        <v>0.61152777777777778</v>
      </c>
      <c r="F88" s="1">
        <v>0.61232638888888891</v>
      </c>
      <c r="G88" s="1">
        <v>0.61472222222222217</v>
      </c>
      <c r="H88" s="1">
        <v>0.61776620370370372</v>
      </c>
      <c r="I88" s="1">
        <v>0.61608796296296298</v>
      </c>
      <c r="J88" s="1">
        <v>0.62343749999999998</v>
      </c>
      <c r="K88" s="1">
        <v>0.6292592592592593</v>
      </c>
      <c r="L88" s="1">
        <v>0.63325231481481481</v>
      </c>
      <c r="M88" s="1">
        <v>0.63521990740740741</v>
      </c>
      <c r="N88" s="1" t="s">
        <v>343</v>
      </c>
      <c r="O88" s="1" t="s">
        <v>33</v>
      </c>
      <c r="P88" s="1" t="s">
        <v>55</v>
      </c>
      <c r="S88" s="1">
        <v>7.9861111111112493E-4</v>
      </c>
      <c r="T88" s="1">
        <v>2.3958333333332638E-3</v>
      </c>
      <c r="U88" s="1">
        <v>1.3657407407408062E-3</v>
      </c>
      <c r="V88" s="1">
        <v>3.0439814814815502E-3</v>
      </c>
      <c r="W88" s="1">
        <v>5.6712962962962576E-3</v>
      </c>
      <c r="X88" s="1">
        <v>1.317129629629632E-2</v>
      </c>
      <c r="Y88" s="1">
        <v>1.853009259259264E-2</v>
      </c>
      <c r="Z88" s="1">
        <v>2.3692129629629632E-2</v>
      </c>
    </row>
    <row r="89" spans="1:26" x14ac:dyDescent="0.25">
      <c r="A89">
        <v>2</v>
      </c>
      <c r="B89" t="s">
        <v>406</v>
      </c>
      <c r="C89" t="s">
        <v>467</v>
      </c>
      <c r="D89">
        <v>2024</v>
      </c>
      <c r="E89" s="1">
        <v>0.61962962962962964</v>
      </c>
      <c r="F89" s="1">
        <v>0.61982638888888886</v>
      </c>
      <c r="G89" s="1">
        <v>0.62267361111111108</v>
      </c>
      <c r="H89" s="1">
        <v>0.62486111111111109</v>
      </c>
      <c r="I89" s="1">
        <v>0.62342592592592594</v>
      </c>
      <c r="J89" s="1">
        <v>0.62770833333333331</v>
      </c>
      <c r="K89" s="1">
        <v>0.63137731481481485</v>
      </c>
      <c r="L89" s="1">
        <v>0.63449074074074074</v>
      </c>
      <c r="M89" s="1">
        <v>0.63612268518518522</v>
      </c>
      <c r="N89" s="1" t="s">
        <v>333</v>
      </c>
      <c r="O89" s="1" t="s">
        <v>36</v>
      </c>
      <c r="P89" s="1" t="s">
        <v>55</v>
      </c>
      <c r="S89" s="1">
        <v>1.96759259259216E-4</v>
      </c>
      <c r="T89" s="1">
        <v>2.8472222222222232E-3</v>
      </c>
      <c r="U89" s="1">
        <v>7.523148148148584E-4</v>
      </c>
      <c r="V89" s="1">
        <v>2.1875000000000089E-3</v>
      </c>
      <c r="W89" s="1">
        <v>2.8472222222222232E-3</v>
      </c>
      <c r="X89" s="1">
        <v>7.9513888888889106E-3</v>
      </c>
      <c r="Y89" s="1">
        <v>1.1817129629629664E-2</v>
      </c>
      <c r="Z89" s="1">
        <v>1.649305555555558E-2</v>
      </c>
    </row>
    <row r="90" spans="1:26" x14ac:dyDescent="0.25">
      <c r="A90">
        <v>2</v>
      </c>
      <c r="B90" t="s">
        <v>38</v>
      </c>
      <c r="C90" t="s">
        <v>419</v>
      </c>
      <c r="D90">
        <v>2016</v>
      </c>
      <c r="E90" s="1">
        <v>0.66107638888888887</v>
      </c>
      <c r="F90" s="1">
        <v>0.66126157407407404</v>
      </c>
      <c r="G90" s="1">
        <v>0.66204861111111113</v>
      </c>
      <c r="H90" s="1">
        <v>0.66440972222222228</v>
      </c>
      <c r="I90" s="1">
        <v>0.6629976851851852</v>
      </c>
      <c r="J90" s="1">
        <v>0.66569444444444448</v>
      </c>
      <c r="K90" s="1">
        <v>0.66974537037037041</v>
      </c>
      <c r="L90" s="1">
        <v>0.67231481481481481</v>
      </c>
      <c r="M90" s="1">
        <v>0.67318287037037039</v>
      </c>
      <c r="N90" s="1" t="s">
        <v>54</v>
      </c>
      <c r="O90" s="1" t="s">
        <v>34</v>
      </c>
      <c r="P90" s="1" t="s">
        <v>55</v>
      </c>
      <c r="S90" s="1">
        <v>1.8518518518517713E-4</v>
      </c>
      <c r="T90" s="1">
        <v>7.8703703703708605E-4</v>
      </c>
      <c r="U90" s="1">
        <v>9.490740740740744E-4</v>
      </c>
      <c r="V90" s="1">
        <v>2.3611111111111471E-3</v>
      </c>
      <c r="W90" s="1">
        <v>1.284722222222201E-3</v>
      </c>
      <c r="X90" s="1">
        <v>6.7476851851852038E-3</v>
      </c>
      <c r="Y90" s="1">
        <v>1.026620370370368E-2</v>
      </c>
      <c r="Z90" s="1">
        <v>1.2106481481481524E-2</v>
      </c>
    </row>
    <row r="91" spans="1:26" x14ac:dyDescent="0.25">
      <c r="A91">
        <v>1</v>
      </c>
      <c r="B91" t="s">
        <v>393</v>
      </c>
      <c r="C91" t="s">
        <v>471</v>
      </c>
      <c r="D91">
        <v>2019</v>
      </c>
      <c r="E91" s="1">
        <v>0.67898148148148152</v>
      </c>
      <c r="F91" s="1">
        <v>0.67923611111111115</v>
      </c>
      <c r="G91" s="1">
        <v>0.68009259259259258</v>
      </c>
      <c r="H91" s="1">
        <v>0.68230324074074078</v>
      </c>
      <c r="I91" s="1">
        <v>0.68093749999999997</v>
      </c>
      <c r="J91" s="1">
        <v>0.68230324074074078</v>
      </c>
      <c r="K91" s="1">
        <v>0.68662037037037038</v>
      </c>
      <c r="L91" s="1">
        <v>0.68837962962962962</v>
      </c>
      <c r="M91" s="1">
        <v>0.7053935185185185</v>
      </c>
      <c r="N91" s="1" t="s">
        <v>472</v>
      </c>
      <c r="O91" s="1" t="s">
        <v>34</v>
      </c>
      <c r="P91" s="1" t="s">
        <v>55</v>
      </c>
      <c r="S91" s="1">
        <v>2.5462962962963243E-4</v>
      </c>
      <c r="T91" s="1">
        <v>8.5648148148143033E-4</v>
      </c>
      <c r="U91" s="1">
        <v>8.4490740740739145E-4</v>
      </c>
      <c r="V91" s="1">
        <v>2.2106481481481977E-3</v>
      </c>
      <c r="W91" s="1">
        <v>0</v>
      </c>
      <c r="X91" s="1">
        <v>5.6828703703704075E-3</v>
      </c>
      <c r="Y91" s="1">
        <v>8.2870370370370372E-3</v>
      </c>
      <c r="Z91" s="1">
        <v>2.6412037037036984E-2</v>
      </c>
    </row>
    <row r="92" spans="1:26" x14ac:dyDescent="0.25">
      <c r="A92">
        <v>3</v>
      </c>
      <c r="B92" t="s">
        <v>250</v>
      </c>
      <c r="C92" t="s">
        <v>271</v>
      </c>
      <c r="D92">
        <v>2014</v>
      </c>
      <c r="E92" s="1">
        <v>0.44677083333333334</v>
      </c>
      <c r="F92" s="1">
        <v>0.44699074074074074</v>
      </c>
      <c r="G92" s="1">
        <v>0.44806712962962963</v>
      </c>
      <c r="H92" s="1">
        <v>0.45165509259259257</v>
      </c>
      <c r="I92" s="1">
        <v>0.44990740740740742</v>
      </c>
      <c r="J92" s="1">
        <v>0.4533564814814815</v>
      </c>
      <c r="K92" s="1">
        <v>0.46046296296296296</v>
      </c>
      <c r="L92" s="1">
        <v>0.46148148148148149</v>
      </c>
      <c r="M92" s="1">
        <v>0.46276620370370369</v>
      </c>
      <c r="N92" s="1" t="s">
        <v>343</v>
      </c>
      <c r="O92" s="1" t="s">
        <v>34</v>
      </c>
      <c r="P92" s="1" t="s">
        <v>55</v>
      </c>
      <c r="S92" s="1">
        <v>2.1990740740740478E-4</v>
      </c>
      <c r="T92" s="1">
        <v>1.0763888888888906E-3</v>
      </c>
      <c r="U92" s="1">
        <v>1.8402777777777879E-3</v>
      </c>
      <c r="V92" s="1">
        <v>3.5879629629629317E-3</v>
      </c>
      <c r="W92" s="1">
        <v>1.7013888888889328E-3</v>
      </c>
      <c r="X92" s="1">
        <v>1.055555555555554E-2</v>
      </c>
      <c r="Y92" s="1">
        <v>1.3414351851851858E-2</v>
      </c>
      <c r="Z92" s="1">
        <v>1.5995370370370354E-2</v>
      </c>
    </row>
    <row r="93" spans="1:26" x14ac:dyDescent="0.25">
      <c r="A93">
        <v>2</v>
      </c>
      <c r="B93" t="s">
        <v>372</v>
      </c>
      <c r="C93" t="s">
        <v>474</v>
      </c>
      <c r="D93">
        <v>2023</v>
      </c>
      <c r="E93" s="1">
        <v>0.45598379629629632</v>
      </c>
      <c r="F93" s="1">
        <v>0.4561574074074074</v>
      </c>
      <c r="G93" s="1">
        <v>0.45729166666666665</v>
      </c>
      <c r="H93" s="1">
        <v>0.46199074074074076</v>
      </c>
      <c r="I93" s="1">
        <v>0.45844907407407409</v>
      </c>
      <c r="J93" s="1">
        <v>0.46383101851851855</v>
      </c>
      <c r="K93" s="1">
        <v>0.47416666666666668</v>
      </c>
      <c r="L93" s="1">
        <v>0.47437499999999999</v>
      </c>
      <c r="M93" s="1">
        <v>0.47488425925925926</v>
      </c>
      <c r="N93" s="1" t="s">
        <v>343</v>
      </c>
      <c r="O93" s="1" t="s">
        <v>36</v>
      </c>
      <c r="P93" s="1" t="s">
        <v>55</v>
      </c>
      <c r="S93" s="1">
        <v>1.7361111111108274E-4</v>
      </c>
      <c r="T93" s="1">
        <v>1.1342592592592515E-3</v>
      </c>
      <c r="U93" s="1">
        <v>1.1574074074074403E-3</v>
      </c>
      <c r="V93" s="1">
        <v>4.6990740740741055E-3</v>
      </c>
      <c r="W93" s="1">
        <v>1.8402777777777879E-3</v>
      </c>
      <c r="X93" s="1">
        <v>1.5717592592592589E-2</v>
      </c>
      <c r="Y93" s="1">
        <v>1.7083333333333339E-2</v>
      </c>
      <c r="Z93" s="1">
        <v>1.8900462962962938E-2</v>
      </c>
    </row>
    <row r="94" spans="1:26" x14ac:dyDescent="0.25">
      <c r="A94">
        <v>3</v>
      </c>
      <c r="B94" t="s">
        <v>38</v>
      </c>
      <c r="C94" t="s">
        <v>475</v>
      </c>
      <c r="D94">
        <v>2024</v>
      </c>
      <c r="E94" s="1">
        <v>0.45986111111111111</v>
      </c>
      <c r="F94" s="1">
        <v>0.46064814814814814</v>
      </c>
      <c r="G94" s="1">
        <v>0.46416666666666667</v>
      </c>
      <c r="H94" s="1">
        <v>0.46754629629629629</v>
      </c>
      <c r="I94" s="1">
        <v>0.46545138888888887</v>
      </c>
      <c r="J94" s="1">
        <v>0.46908564814814813</v>
      </c>
      <c r="K94" s="1">
        <v>0.48538194444444444</v>
      </c>
      <c r="L94" s="1">
        <v>0.50359953703703708</v>
      </c>
      <c r="M94" s="1">
        <v>0.50484953703703705</v>
      </c>
      <c r="N94" s="1" t="s">
        <v>476</v>
      </c>
      <c r="O94" s="1" t="s">
        <v>36</v>
      </c>
      <c r="P94" s="1" t="s">
        <v>55</v>
      </c>
      <c r="S94" s="1">
        <v>7.8703703703703054E-4</v>
      </c>
      <c r="T94" s="1">
        <v>3.5185185185185319E-3</v>
      </c>
      <c r="U94" s="1">
        <v>1.284722222222201E-3</v>
      </c>
      <c r="V94" s="1">
        <v>3.3796296296296213E-3</v>
      </c>
      <c r="W94" s="1">
        <v>1.5393518518518334E-3</v>
      </c>
      <c r="X94" s="1">
        <v>1.9930555555555562E-2</v>
      </c>
      <c r="Y94" s="1">
        <v>3.943287037037041E-2</v>
      </c>
      <c r="Z94" s="1">
        <v>4.4988425925925946E-2</v>
      </c>
    </row>
    <row r="95" spans="1:26" x14ac:dyDescent="0.25">
      <c r="A95">
        <v>4</v>
      </c>
      <c r="B95" t="s">
        <v>359</v>
      </c>
      <c r="C95" t="s">
        <v>477</v>
      </c>
      <c r="D95">
        <v>2021</v>
      </c>
      <c r="E95" s="1">
        <v>0.46377314814814813</v>
      </c>
      <c r="F95" s="1">
        <v>0.46387731481481481</v>
      </c>
      <c r="G95" s="1">
        <v>0.46754629629629629</v>
      </c>
      <c r="H95" s="1">
        <v>0.47643518518518518</v>
      </c>
      <c r="I95" s="1">
        <v>0.46832175925925928</v>
      </c>
      <c r="J95" s="1">
        <v>0.47878472222222224</v>
      </c>
      <c r="K95" s="1">
        <v>0.48770833333333335</v>
      </c>
      <c r="L95" s="1">
        <v>0.48954861111111109</v>
      </c>
      <c r="M95" s="1">
        <v>0.49108796296296298</v>
      </c>
      <c r="N95" s="1" t="s">
        <v>478</v>
      </c>
      <c r="O95" s="1" t="s">
        <v>33</v>
      </c>
      <c r="P95" s="1" t="s">
        <v>55</v>
      </c>
      <c r="S95" s="1">
        <v>1.0416666666668295E-4</v>
      </c>
      <c r="T95" s="1">
        <v>3.6689814814814814E-3</v>
      </c>
      <c r="U95" s="1">
        <v>7.7546296296299166E-4</v>
      </c>
      <c r="V95" s="1">
        <v>8.8888888888888906E-3</v>
      </c>
      <c r="W95" s="1">
        <v>2.3495370370370527E-3</v>
      </c>
      <c r="X95" s="1">
        <v>1.938657407407407E-2</v>
      </c>
      <c r="Y95" s="1">
        <v>2.2002314814814794E-2</v>
      </c>
      <c r="Z95" s="1">
        <v>2.7314814814814847E-2</v>
      </c>
    </row>
    <row r="96" spans="1:26" x14ac:dyDescent="0.25">
      <c r="A96">
        <v>2</v>
      </c>
      <c r="B96" t="s">
        <v>8</v>
      </c>
      <c r="C96" t="s">
        <v>479</v>
      </c>
      <c r="D96">
        <v>2012</v>
      </c>
      <c r="E96" s="1">
        <v>0.49840277777777775</v>
      </c>
      <c r="F96" s="1">
        <v>0.49875000000000003</v>
      </c>
      <c r="G96" s="1">
        <v>0.49949074074074074</v>
      </c>
      <c r="H96" s="1">
        <v>0.50408564814814816</v>
      </c>
      <c r="I96" s="1">
        <v>0.50105324074074076</v>
      </c>
      <c r="J96" s="1">
        <v>0.50578703703703709</v>
      </c>
      <c r="K96" s="1">
        <v>0.50839120370370372</v>
      </c>
      <c r="L96" s="1">
        <v>0.50877314814814811</v>
      </c>
      <c r="M96" s="1">
        <v>0.50932870370370376</v>
      </c>
      <c r="N96" s="1" t="s">
        <v>54</v>
      </c>
      <c r="O96" s="1" t="s">
        <v>33</v>
      </c>
      <c r="P96" s="1" t="s">
        <v>55</v>
      </c>
      <c r="S96" s="1">
        <v>3.472222222222765E-4</v>
      </c>
      <c r="T96" s="1">
        <v>7.407407407407085E-4</v>
      </c>
      <c r="U96" s="1">
        <v>1.5625000000000222E-3</v>
      </c>
      <c r="V96" s="1">
        <v>4.5949074074074225E-3</v>
      </c>
      <c r="W96" s="1">
        <v>1.7013888888889328E-3</v>
      </c>
      <c r="X96" s="1">
        <v>7.3379629629629628E-3</v>
      </c>
      <c r="Y96" s="1">
        <v>9.2824074074073781E-3</v>
      </c>
      <c r="Z96" s="1">
        <v>1.0925925925926006E-2</v>
      </c>
    </row>
    <row r="97" spans="1:26" x14ac:dyDescent="0.25">
      <c r="A97">
        <v>3</v>
      </c>
      <c r="B97" t="s">
        <v>38</v>
      </c>
      <c r="C97" t="s">
        <v>480</v>
      </c>
      <c r="D97">
        <v>2014</v>
      </c>
      <c r="E97" s="1">
        <v>0.50309027777777782</v>
      </c>
      <c r="F97" s="1">
        <v>0.50328703703703703</v>
      </c>
      <c r="G97" s="1">
        <v>0.5043981481481481</v>
      </c>
      <c r="H97" s="1">
        <v>0.50792824074074072</v>
      </c>
      <c r="I97" s="1">
        <v>0.50574074074074071</v>
      </c>
      <c r="J97" s="1">
        <v>0.51103009259259258</v>
      </c>
      <c r="K97" s="1">
        <v>0.51806712962962964</v>
      </c>
      <c r="L97" s="1">
        <v>0.51873842592592589</v>
      </c>
      <c r="M97" s="1">
        <v>0.52059027777777778</v>
      </c>
      <c r="N97" s="1" t="s">
        <v>54</v>
      </c>
      <c r="O97" s="1" t="s">
        <v>33</v>
      </c>
      <c r="P97" s="1" t="s">
        <v>55</v>
      </c>
      <c r="S97" s="1">
        <v>1.96759259259216E-4</v>
      </c>
      <c r="T97" s="1">
        <v>1.1111111111110628E-3</v>
      </c>
      <c r="U97" s="1">
        <v>1.3425925925926174E-3</v>
      </c>
      <c r="V97" s="1">
        <v>3.5300925925926263E-3</v>
      </c>
      <c r="W97" s="1">
        <v>3.1018518518518556E-3</v>
      </c>
      <c r="X97" s="1">
        <v>1.2326388888888928E-2</v>
      </c>
      <c r="Y97" s="1">
        <v>1.4340277777777799E-2</v>
      </c>
      <c r="Z97" s="1">
        <v>1.749999999999996E-2</v>
      </c>
    </row>
    <row r="98" spans="1:26" x14ac:dyDescent="0.25">
      <c r="A98">
        <v>2</v>
      </c>
      <c r="B98" t="s">
        <v>8</v>
      </c>
      <c r="C98" t="s">
        <v>239</v>
      </c>
      <c r="D98">
        <v>2016</v>
      </c>
      <c r="E98" s="1">
        <v>0.41241898148148148</v>
      </c>
      <c r="F98" s="1">
        <v>0.41260416666666666</v>
      </c>
      <c r="G98" s="1">
        <v>0.41322916666666665</v>
      </c>
      <c r="H98" s="1">
        <v>0.41591435185185183</v>
      </c>
      <c r="I98" s="1">
        <v>0.41446759259259258</v>
      </c>
      <c r="J98" s="1">
        <v>0.41859953703703706</v>
      </c>
      <c r="K98" s="1">
        <v>0.42162037037037037</v>
      </c>
      <c r="L98" s="1">
        <v>0.42207175925925927</v>
      </c>
      <c r="M98" s="1">
        <v>0.42303240740740738</v>
      </c>
      <c r="N98" s="1" t="s">
        <v>333</v>
      </c>
      <c r="O98" s="1" t="s">
        <v>34</v>
      </c>
      <c r="P98" s="1" t="s">
        <v>55</v>
      </c>
      <c r="S98" s="1">
        <v>1.8518518518517713E-4</v>
      </c>
      <c r="T98" s="1">
        <v>6.2499999999998668E-4</v>
      </c>
      <c r="U98" s="1">
        <v>1.2384259259259345E-3</v>
      </c>
      <c r="V98" s="1">
        <v>2.6851851851851793E-3</v>
      </c>
      <c r="W98" s="1">
        <v>2.6851851851852349E-3</v>
      </c>
      <c r="X98" s="1">
        <v>7.1527777777777857E-3</v>
      </c>
      <c r="Y98" s="1">
        <v>8.8425925925926241E-3</v>
      </c>
      <c r="Z98" s="1">
        <v>1.0613425925925901E-2</v>
      </c>
    </row>
    <row r="99" spans="1:26" x14ac:dyDescent="0.25">
      <c r="A99">
        <v>2</v>
      </c>
      <c r="B99" t="s">
        <v>322</v>
      </c>
      <c r="C99" t="s">
        <v>484</v>
      </c>
      <c r="D99">
        <v>2024</v>
      </c>
      <c r="E99" s="1">
        <v>0.43744212962962964</v>
      </c>
      <c r="F99" s="1">
        <v>0.43785879629629632</v>
      </c>
      <c r="G99" s="1">
        <v>0.43877314814814816</v>
      </c>
      <c r="H99" s="1">
        <v>0.44112268518518516</v>
      </c>
      <c r="I99" s="1">
        <v>0.43929398148148147</v>
      </c>
      <c r="J99" s="1">
        <v>0.44184027777777779</v>
      </c>
      <c r="K99" s="1">
        <v>0.44527777777777777</v>
      </c>
      <c r="L99" s="1">
        <v>0.44578703703703704</v>
      </c>
      <c r="M99" s="1">
        <v>0.44605324074074076</v>
      </c>
      <c r="N99" s="1" t="s">
        <v>343</v>
      </c>
      <c r="O99" s="1" t="s">
        <v>36</v>
      </c>
      <c r="P99" s="1" t="s">
        <v>55</v>
      </c>
      <c r="S99" s="1">
        <v>4.1666666666667629E-4</v>
      </c>
      <c r="T99" s="1">
        <v>9.1435185185184675E-4</v>
      </c>
      <c r="U99" s="1">
        <v>5.2083333333330373E-4</v>
      </c>
      <c r="V99" s="1">
        <v>2.3495370370369972E-3</v>
      </c>
      <c r="W99" s="1">
        <v>7.1759259259263075E-4</v>
      </c>
      <c r="X99" s="1">
        <v>5.9837962962963065E-3</v>
      </c>
      <c r="Y99" s="1">
        <v>7.0138888888888751E-3</v>
      </c>
      <c r="Z99" s="1">
        <v>8.6111111111111249E-3</v>
      </c>
    </row>
    <row r="100" spans="1:26" x14ac:dyDescent="0.25">
      <c r="A100">
        <v>4</v>
      </c>
      <c r="B100" t="s">
        <v>322</v>
      </c>
      <c r="C100" t="s">
        <v>485</v>
      </c>
      <c r="D100">
        <v>2023</v>
      </c>
      <c r="E100" s="1">
        <v>0.4428125</v>
      </c>
      <c r="F100" s="1">
        <v>0.44293981481481481</v>
      </c>
      <c r="G100" s="1">
        <v>0.44353009259259257</v>
      </c>
      <c r="H100" s="1">
        <v>0.44608796296296294</v>
      </c>
      <c r="I100" s="1">
        <v>0.44460648148148146</v>
      </c>
      <c r="J100" s="1">
        <v>0.44767361111111109</v>
      </c>
      <c r="K100" s="1">
        <v>0.45097222222222222</v>
      </c>
      <c r="L100" s="1">
        <v>0.45484953703703701</v>
      </c>
      <c r="M100" s="1">
        <v>0.45543981481481483</v>
      </c>
      <c r="N100" s="1" t="s">
        <v>486</v>
      </c>
      <c r="O100" s="1" t="s">
        <v>34</v>
      </c>
      <c r="P100" s="1" t="s">
        <v>55</v>
      </c>
      <c r="S100" s="1">
        <v>1.2731481481481621E-4</v>
      </c>
      <c r="T100" s="1">
        <v>5.9027777777775903E-4</v>
      </c>
      <c r="U100" s="1">
        <v>1.0763888888888906E-3</v>
      </c>
      <c r="V100" s="1">
        <v>2.5578703703703631E-3</v>
      </c>
      <c r="W100" s="1">
        <v>1.5856481481481555E-3</v>
      </c>
      <c r="X100" s="1">
        <v>6.3657407407407551E-3</v>
      </c>
      <c r="Y100" s="1">
        <v>1.1319444444444438E-2</v>
      </c>
      <c r="Z100" s="1">
        <v>1.2627314814814827E-2</v>
      </c>
    </row>
    <row r="101" spans="1:26" x14ac:dyDescent="0.25">
      <c r="A101">
        <v>3</v>
      </c>
      <c r="B101" t="s">
        <v>374</v>
      </c>
      <c r="C101" t="s">
        <v>489</v>
      </c>
      <c r="D101">
        <v>2005</v>
      </c>
      <c r="E101" s="1">
        <v>0.4626736111111111</v>
      </c>
      <c r="F101" s="1">
        <v>0.46276620370370369</v>
      </c>
      <c r="G101" s="1">
        <v>0.46398148148148149</v>
      </c>
      <c r="H101" s="1">
        <v>0.47120370370370368</v>
      </c>
      <c r="I101" s="1">
        <v>0.46534722222222225</v>
      </c>
      <c r="J101" s="1">
        <v>0.4745138888888889</v>
      </c>
      <c r="K101" s="1">
        <v>0.4788310185185185</v>
      </c>
      <c r="L101" s="1">
        <v>0.47917824074074072</v>
      </c>
      <c r="M101" s="1">
        <v>0.48020833333333335</v>
      </c>
      <c r="N101" s="1" t="s">
        <v>343</v>
      </c>
      <c r="O101" s="1" t="s">
        <v>34</v>
      </c>
      <c r="P101" s="1" t="s">
        <v>55</v>
      </c>
      <c r="S101" s="1">
        <v>9.2592592592588563E-5</v>
      </c>
      <c r="T101" s="1">
        <v>1.2152777777778012E-3</v>
      </c>
      <c r="U101" s="1">
        <v>1.3657407407407507E-3</v>
      </c>
      <c r="V101" s="1">
        <v>7.2222222222221855E-3</v>
      </c>
      <c r="W101" s="1">
        <v>3.3101851851852215E-3</v>
      </c>
      <c r="X101" s="1">
        <v>1.3483796296296258E-2</v>
      </c>
      <c r="Y101" s="1">
        <v>1.5196759259259229E-2</v>
      </c>
      <c r="Z101" s="1">
        <v>1.7534722222222243E-2</v>
      </c>
    </row>
    <row r="102" spans="1:26" x14ac:dyDescent="0.25">
      <c r="A102">
        <v>4</v>
      </c>
      <c r="B102" t="s">
        <v>393</v>
      </c>
      <c r="C102" t="s">
        <v>239</v>
      </c>
      <c r="D102">
        <v>2025</v>
      </c>
      <c r="E102" s="1">
        <v>0.46273148148148147</v>
      </c>
      <c r="F102" s="1">
        <v>0.46318287037037037</v>
      </c>
      <c r="G102" s="1">
        <v>0.46553240740740742</v>
      </c>
      <c r="H102" s="1">
        <v>0.4754976851851852</v>
      </c>
      <c r="I102" s="1">
        <v>0.46630787037037036</v>
      </c>
      <c r="J102" s="1">
        <v>0.47605324074074074</v>
      </c>
      <c r="K102" s="1">
        <v>0.48113425925925923</v>
      </c>
      <c r="L102" s="1">
        <v>0.48369212962962965</v>
      </c>
      <c r="M102" s="1">
        <v>0.48494212962962963</v>
      </c>
      <c r="N102" s="1" t="s">
        <v>54</v>
      </c>
      <c r="O102" s="1" t="s">
        <v>34</v>
      </c>
      <c r="P102" s="1" t="s">
        <v>55</v>
      </c>
      <c r="S102" s="1">
        <v>4.5138888888890394E-4</v>
      </c>
      <c r="T102" s="1">
        <v>2.3495370370370527E-3</v>
      </c>
      <c r="U102" s="1">
        <v>7.7546296296293615E-4</v>
      </c>
      <c r="V102" s="1">
        <v>9.9652777777777812E-3</v>
      </c>
      <c r="W102" s="1">
        <v>5.5555555555553138E-4</v>
      </c>
      <c r="X102" s="1">
        <v>1.4826388888888875E-2</v>
      </c>
      <c r="Y102" s="1">
        <v>1.815972222222223E-2</v>
      </c>
      <c r="Z102" s="1">
        <v>2.221064814814816E-2</v>
      </c>
    </row>
    <row r="103" spans="1:26" x14ac:dyDescent="0.25">
      <c r="A103">
        <v>3</v>
      </c>
      <c r="B103" t="s">
        <v>393</v>
      </c>
      <c r="C103" t="s">
        <v>385</v>
      </c>
      <c r="D103">
        <v>2019</v>
      </c>
      <c r="E103" s="1">
        <v>0.47266203703703702</v>
      </c>
      <c r="F103" s="1">
        <v>0.47280092592592593</v>
      </c>
      <c r="G103" s="1">
        <v>0.48069444444444442</v>
      </c>
      <c r="H103" s="1">
        <v>0.48472222222222222</v>
      </c>
      <c r="I103" s="1">
        <v>0.48172453703703705</v>
      </c>
      <c r="J103" s="1">
        <v>0.48730324074074072</v>
      </c>
      <c r="K103" s="1">
        <v>0.51105324074074077</v>
      </c>
      <c r="L103" s="1">
        <v>0.51393518518518522</v>
      </c>
      <c r="M103" s="1">
        <v>0.51432870370370365</v>
      </c>
      <c r="N103" s="1" t="s">
        <v>490</v>
      </c>
      <c r="O103" s="1" t="s">
        <v>34</v>
      </c>
      <c r="P103" s="1" t="s">
        <v>55</v>
      </c>
      <c r="S103" s="1">
        <v>1.388888888889106E-4</v>
      </c>
      <c r="T103" s="1">
        <v>7.8935185185184942E-3</v>
      </c>
      <c r="U103" s="1">
        <v>1.0300925925926241E-3</v>
      </c>
      <c r="V103" s="1">
        <v>4.0277777777777968E-3</v>
      </c>
      <c r="W103" s="1">
        <v>2.5810185185184964E-3</v>
      </c>
      <c r="X103" s="1">
        <v>2.9328703703703718E-2</v>
      </c>
      <c r="Y103" s="1">
        <v>3.3240740740740793E-2</v>
      </c>
      <c r="Z103" s="1">
        <v>4.166666666666663E-2</v>
      </c>
    </row>
    <row r="104" spans="1:26" x14ac:dyDescent="0.25">
      <c r="A104">
        <v>4</v>
      </c>
      <c r="B104" t="s">
        <v>390</v>
      </c>
      <c r="C104" t="s">
        <v>492</v>
      </c>
      <c r="D104">
        <v>2007</v>
      </c>
      <c r="E104" s="1">
        <v>0.479375</v>
      </c>
      <c r="F104" s="1">
        <v>0.47965277777777776</v>
      </c>
      <c r="G104" s="1">
        <v>0.48525462962962962</v>
      </c>
      <c r="H104" s="1">
        <v>0.49302083333333335</v>
      </c>
      <c r="I104" s="1">
        <v>0.48601851851851852</v>
      </c>
      <c r="J104" s="1">
        <v>0.49302083333333335</v>
      </c>
      <c r="K104" s="1">
        <v>0.50193287037037038</v>
      </c>
      <c r="L104" s="1">
        <v>0.50254629629629632</v>
      </c>
      <c r="M104" s="1">
        <v>0.7207175925925926</v>
      </c>
      <c r="N104" s="1" t="s">
        <v>493</v>
      </c>
      <c r="O104" s="1" t="s">
        <v>33</v>
      </c>
      <c r="P104" s="1" t="s">
        <v>55</v>
      </c>
      <c r="S104" s="1">
        <v>2.7777777777776569E-4</v>
      </c>
      <c r="T104" s="1">
        <v>5.6018518518518579E-3</v>
      </c>
      <c r="U104" s="1">
        <v>7.6388888888889728E-4</v>
      </c>
      <c r="V104" s="1">
        <v>7.7662037037037335E-3</v>
      </c>
      <c r="W104" s="1">
        <v>0</v>
      </c>
      <c r="X104" s="1">
        <v>1.591435185185186E-2</v>
      </c>
      <c r="Y104" s="1">
        <v>1.7291666666666705E-2</v>
      </c>
      <c r="Z104" s="1">
        <v>0.24134259259259261</v>
      </c>
    </row>
    <row r="105" spans="1:26" x14ac:dyDescent="0.25">
      <c r="A105">
        <v>2</v>
      </c>
      <c r="B105" t="s">
        <v>380</v>
      </c>
      <c r="C105" t="s">
        <v>494</v>
      </c>
      <c r="D105">
        <v>2026</v>
      </c>
      <c r="E105" s="1">
        <v>0.48813657407407407</v>
      </c>
      <c r="F105" s="1">
        <v>0.48850694444444442</v>
      </c>
      <c r="G105" s="1">
        <v>0.48925925925925928</v>
      </c>
      <c r="H105" s="1">
        <v>0.49844907407407407</v>
      </c>
      <c r="I105" s="1">
        <v>0.49035879629629631</v>
      </c>
      <c r="J105" s="1">
        <v>0.49997685185185187</v>
      </c>
      <c r="K105" s="1">
        <v>0.5053819444444444</v>
      </c>
      <c r="L105" s="1">
        <v>0.50591435185185185</v>
      </c>
      <c r="M105" s="1">
        <v>0.50853009259259263</v>
      </c>
      <c r="N105" s="1" t="s">
        <v>54</v>
      </c>
      <c r="O105" s="1" t="s">
        <v>34</v>
      </c>
      <c r="P105" s="1" t="s">
        <v>55</v>
      </c>
      <c r="S105" s="1">
        <v>3.7037037037035425E-4</v>
      </c>
      <c r="T105" s="1">
        <v>7.523148148148584E-4</v>
      </c>
      <c r="U105" s="1">
        <v>1.0995370370370239E-3</v>
      </c>
      <c r="V105" s="1">
        <v>9.1898148148147896E-3</v>
      </c>
      <c r="W105" s="1">
        <v>1.5277777777777946E-3</v>
      </c>
      <c r="X105" s="1">
        <v>1.5023148148148091E-2</v>
      </c>
      <c r="Y105" s="1">
        <v>1.6655092592592569E-2</v>
      </c>
      <c r="Z105" s="1">
        <v>2.0393518518518561E-2</v>
      </c>
    </row>
    <row r="106" spans="1:26" x14ac:dyDescent="0.25">
      <c r="A106">
        <v>1</v>
      </c>
      <c r="B106" t="s">
        <v>393</v>
      </c>
      <c r="C106" t="s">
        <v>495</v>
      </c>
      <c r="D106">
        <v>2012</v>
      </c>
      <c r="E106" s="1">
        <v>0.49062499999999998</v>
      </c>
      <c r="F106" s="1">
        <v>0.4911226851851852</v>
      </c>
      <c r="G106" s="1">
        <v>0.49917824074074074</v>
      </c>
      <c r="H106" s="1">
        <v>0.50468749999999996</v>
      </c>
      <c r="I106" s="1">
        <v>0.5007638888888889</v>
      </c>
      <c r="J106" s="1">
        <v>0.5075115740740741</v>
      </c>
      <c r="K106" s="1">
        <v>0.51145833333333335</v>
      </c>
      <c r="L106" s="1">
        <v>0.5181365740740741</v>
      </c>
      <c r="M106" s="1">
        <v>0.51927083333333335</v>
      </c>
      <c r="N106" s="1" t="s">
        <v>496</v>
      </c>
      <c r="O106" s="1" t="s">
        <v>33</v>
      </c>
      <c r="P106" s="1" t="s">
        <v>55</v>
      </c>
      <c r="S106" s="1">
        <v>4.9768518518522598E-4</v>
      </c>
      <c r="T106" s="1">
        <v>8.055555555555538E-3</v>
      </c>
      <c r="U106" s="1">
        <v>1.5856481481481555E-3</v>
      </c>
      <c r="V106" s="1">
        <v>5.5092592592592138E-3</v>
      </c>
      <c r="W106" s="1">
        <v>2.8240740740741455E-3</v>
      </c>
      <c r="X106" s="1">
        <v>1.0694444444444451E-2</v>
      </c>
      <c r="Y106" s="1">
        <v>1.8958333333333355E-2</v>
      </c>
      <c r="Z106" s="1">
        <v>2.864583333333337E-2</v>
      </c>
    </row>
    <row r="107" spans="1:26" x14ac:dyDescent="0.25">
      <c r="A107">
        <v>2</v>
      </c>
      <c r="B107" t="s">
        <v>374</v>
      </c>
      <c r="C107" t="s">
        <v>497</v>
      </c>
      <c r="D107">
        <v>2014</v>
      </c>
      <c r="E107" s="1">
        <v>0.50873842592592589</v>
      </c>
      <c r="F107" s="1">
        <v>0.50893518518518521</v>
      </c>
      <c r="G107" s="1">
        <v>0.50927083333333334</v>
      </c>
      <c r="H107" s="1">
        <v>0.51304398148148145</v>
      </c>
      <c r="I107" s="1">
        <v>0.50995370370370374</v>
      </c>
      <c r="J107" s="1">
        <v>0.51589120370370367</v>
      </c>
      <c r="K107" s="1">
        <v>0.51844907407407403</v>
      </c>
      <c r="L107" s="1">
        <v>0.51902777777777775</v>
      </c>
      <c r="M107" s="1">
        <v>0.51995370370370375</v>
      </c>
      <c r="N107" s="1" t="s">
        <v>54</v>
      </c>
      <c r="O107" s="1" t="s">
        <v>34</v>
      </c>
      <c r="P107" s="1" t="s">
        <v>55</v>
      </c>
      <c r="S107" s="1">
        <v>1.9675925925932702E-4</v>
      </c>
      <c r="T107" s="1">
        <v>3.356481481481266E-4</v>
      </c>
      <c r="U107" s="1">
        <v>6.828703703704031E-4</v>
      </c>
      <c r="V107" s="1">
        <v>3.7731481481481088E-3</v>
      </c>
      <c r="W107" s="1">
        <v>2.8472222222222232E-3</v>
      </c>
      <c r="X107" s="1">
        <v>8.4953703703702921E-3</v>
      </c>
      <c r="Y107" s="1">
        <v>9.7569444444444153E-3</v>
      </c>
      <c r="Z107" s="1">
        <v>1.1215277777777866E-2</v>
      </c>
    </row>
    <row r="108" spans="1:26" x14ac:dyDescent="0.25">
      <c r="A108">
        <v>1</v>
      </c>
      <c r="B108" t="s">
        <v>393</v>
      </c>
      <c r="C108" t="s">
        <v>498</v>
      </c>
      <c r="D108">
        <v>2019</v>
      </c>
      <c r="E108" s="1">
        <v>0.52186342592592594</v>
      </c>
      <c r="F108" s="1">
        <v>0.5219907407407407</v>
      </c>
      <c r="G108" s="1">
        <v>0.5227546296296296</v>
      </c>
      <c r="H108" s="1">
        <v>0.52560185185185182</v>
      </c>
      <c r="I108" s="1">
        <v>0.52362268518518518</v>
      </c>
      <c r="J108" s="1">
        <v>0.52704861111111112</v>
      </c>
      <c r="K108" s="1">
        <v>0.53288194444444448</v>
      </c>
      <c r="L108" s="1">
        <v>0.53333333333333333</v>
      </c>
      <c r="M108" s="1">
        <v>0.54622685185185182</v>
      </c>
      <c r="N108" s="1" t="s">
        <v>499</v>
      </c>
      <c r="O108" s="1" t="s">
        <v>36</v>
      </c>
      <c r="P108" s="1" t="s">
        <v>55</v>
      </c>
      <c r="S108" s="1">
        <v>1.273148148147607E-4</v>
      </c>
      <c r="T108" s="1">
        <v>7.6388888888889728E-4</v>
      </c>
      <c r="U108" s="1">
        <v>8.6805555555558023E-4</v>
      </c>
      <c r="V108" s="1">
        <v>2.8472222222222232E-3</v>
      </c>
      <c r="W108" s="1">
        <v>1.4467592592593004E-3</v>
      </c>
      <c r="X108" s="1">
        <v>9.2592592592593004E-3</v>
      </c>
      <c r="Y108" s="1">
        <v>1.0578703703703729E-2</v>
      </c>
      <c r="Z108" s="1">
        <v>2.4363425925925886E-2</v>
      </c>
    </row>
    <row r="109" spans="1:26" x14ac:dyDescent="0.25">
      <c r="A109">
        <v>1</v>
      </c>
      <c r="B109" t="s">
        <v>38</v>
      </c>
      <c r="C109" t="s">
        <v>455</v>
      </c>
      <c r="D109">
        <v>2020</v>
      </c>
      <c r="E109" s="1">
        <v>0.5478587962962963</v>
      </c>
      <c r="F109" s="1">
        <v>0.5481018518518519</v>
      </c>
      <c r="G109" s="1">
        <v>0.54859953703703701</v>
      </c>
      <c r="H109" s="1">
        <v>0.55021990740740745</v>
      </c>
      <c r="I109" s="1">
        <v>0.54909722222222224</v>
      </c>
      <c r="J109" s="1">
        <v>0.55140046296296297</v>
      </c>
      <c r="K109" s="1">
        <v>0.55379629629629634</v>
      </c>
      <c r="L109" s="1">
        <v>0.55407407407407405</v>
      </c>
      <c r="M109" s="1">
        <v>0.55474537037037042</v>
      </c>
      <c r="N109" s="1" t="s">
        <v>333</v>
      </c>
      <c r="O109" s="1" t="s">
        <v>34</v>
      </c>
      <c r="P109" s="1" t="s">
        <v>55</v>
      </c>
      <c r="S109" s="1">
        <v>2.4305555555559355E-4</v>
      </c>
      <c r="T109" s="1">
        <v>4.9768518518511495E-4</v>
      </c>
      <c r="U109" s="1">
        <v>4.9768518518522598E-4</v>
      </c>
      <c r="V109" s="1">
        <v>1.6203703703704386E-3</v>
      </c>
      <c r="W109" s="1">
        <v>1.1805555555555181E-3</v>
      </c>
      <c r="X109" s="1">
        <v>4.6990740740741055E-3</v>
      </c>
      <c r="Y109" s="1">
        <v>5.4745370370370416E-3</v>
      </c>
      <c r="Z109" s="1">
        <v>6.8865740740741144E-3</v>
      </c>
    </row>
    <row r="110" spans="1:26" x14ac:dyDescent="0.25">
      <c r="A110">
        <v>1</v>
      </c>
      <c r="B110" t="s">
        <v>374</v>
      </c>
      <c r="C110" t="s">
        <v>497</v>
      </c>
      <c r="D110">
        <v>2016</v>
      </c>
      <c r="E110" s="1">
        <v>0.55834490740740739</v>
      </c>
      <c r="F110" s="1">
        <v>0.55850694444444449</v>
      </c>
      <c r="G110" s="1">
        <v>0.55936342592592592</v>
      </c>
      <c r="H110" s="1">
        <v>0.56216435185185187</v>
      </c>
      <c r="I110" s="1">
        <v>0.56070601851851853</v>
      </c>
      <c r="J110" s="1">
        <v>0.56314814814814818</v>
      </c>
      <c r="K110" s="1">
        <v>0.56534722222222222</v>
      </c>
      <c r="L110" s="1">
        <v>0.56582175925925926</v>
      </c>
      <c r="M110" s="1">
        <v>0.56679398148148152</v>
      </c>
      <c r="N110" s="1" t="s">
        <v>54</v>
      </c>
      <c r="O110" s="1" t="s">
        <v>34</v>
      </c>
      <c r="P110" s="1" t="s">
        <v>55</v>
      </c>
      <c r="S110" s="1">
        <v>1.6203703703709937E-4</v>
      </c>
      <c r="T110" s="1">
        <v>8.5648148148143033E-4</v>
      </c>
      <c r="U110" s="1">
        <v>1.3425925925926174E-3</v>
      </c>
      <c r="V110" s="1">
        <v>2.8009259259259567E-3</v>
      </c>
      <c r="W110" s="1">
        <v>9.8379629629630205E-4</v>
      </c>
      <c r="X110" s="1">
        <v>4.6412037037036891E-3</v>
      </c>
      <c r="Y110" s="1">
        <v>6.4583333333333437E-3</v>
      </c>
      <c r="Z110" s="1">
        <v>8.4490740740741366E-3</v>
      </c>
    </row>
    <row r="111" spans="1:26" x14ac:dyDescent="0.25">
      <c r="A111">
        <v>2</v>
      </c>
      <c r="B111" t="s">
        <v>393</v>
      </c>
      <c r="C111" t="s">
        <v>500</v>
      </c>
      <c r="D111">
        <v>2019</v>
      </c>
      <c r="E111" s="1">
        <v>0.56873842592592594</v>
      </c>
      <c r="F111" s="1">
        <v>0.56903935185185184</v>
      </c>
      <c r="G111" s="1">
        <v>0.5708333333333333</v>
      </c>
      <c r="H111" s="1">
        <v>0.57370370370370372</v>
      </c>
      <c r="I111" s="1">
        <v>0.57203703703703701</v>
      </c>
      <c r="J111" s="1">
        <v>0.57451388888888888</v>
      </c>
      <c r="K111" s="1">
        <v>0.57718749999999996</v>
      </c>
      <c r="L111" s="1">
        <v>0.578587962962963</v>
      </c>
      <c r="M111" s="1">
        <v>0.58078703703703705</v>
      </c>
      <c r="N111" s="1" t="s">
        <v>54</v>
      </c>
      <c r="O111" s="1" t="s">
        <v>33</v>
      </c>
      <c r="P111" s="1" t="s">
        <v>55</v>
      </c>
      <c r="S111" s="1">
        <v>3.0092592592589895E-4</v>
      </c>
      <c r="T111" s="1">
        <v>1.7939814814814659E-3</v>
      </c>
      <c r="U111" s="1">
        <v>1.2037037037037068E-3</v>
      </c>
      <c r="V111" s="1">
        <v>2.870370370370412E-3</v>
      </c>
      <c r="W111" s="1">
        <v>8.101851851851638E-4</v>
      </c>
      <c r="X111" s="1">
        <v>5.1504629629629539E-3</v>
      </c>
      <c r="Y111" s="1">
        <v>7.7546296296296946E-3</v>
      </c>
      <c r="Z111" s="1">
        <v>1.2048611111111107E-2</v>
      </c>
    </row>
    <row r="112" spans="1:26" x14ac:dyDescent="0.25">
      <c r="A112">
        <v>1</v>
      </c>
      <c r="B112" t="s">
        <v>322</v>
      </c>
      <c r="C112" t="s">
        <v>485</v>
      </c>
      <c r="D112">
        <v>2021</v>
      </c>
      <c r="E112" s="1">
        <v>0.57841435185185186</v>
      </c>
      <c r="F112" s="1">
        <v>0.57856481481481481</v>
      </c>
      <c r="G112" s="1">
        <v>0.57942129629629635</v>
      </c>
      <c r="H112" s="1">
        <v>0.58079861111111108</v>
      </c>
      <c r="I112" s="1">
        <v>0.57983796296296297</v>
      </c>
      <c r="J112" s="1">
        <v>0.58223379629629635</v>
      </c>
      <c r="K112" s="1">
        <v>0.58339120370370368</v>
      </c>
      <c r="L112" s="1">
        <v>0.5837268518518518</v>
      </c>
      <c r="M112" s="1">
        <v>0.58393518518518517</v>
      </c>
      <c r="N112" s="1" t="s">
        <v>54</v>
      </c>
      <c r="O112" s="1" t="s">
        <v>34</v>
      </c>
      <c r="P112" s="1" t="s">
        <v>55</v>
      </c>
      <c r="S112" s="1">
        <v>1.5046296296294948E-4</v>
      </c>
      <c r="T112" s="1">
        <v>8.5648148148154135E-4</v>
      </c>
      <c r="U112" s="1">
        <v>4.1666666666662078E-4</v>
      </c>
      <c r="V112" s="1">
        <v>1.3773148148147341E-3</v>
      </c>
      <c r="W112" s="1">
        <v>1.4351851851852615E-3</v>
      </c>
      <c r="X112" s="1">
        <v>3.5532407407407041E-3</v>
      </c>
      <c r="Y112" s="1">
        <v>4.3055555555554514E-3</v>
      </c>
      <c r="Z112" s="1">
        <v>5.5208333333333082E-3</v>
      </c>
    </row>
    <row r="113" spans="1:26" x14ac:dyDescent="0.25">
      <c r="A113">
        <v>2</v>
      </c>
      <c r="B113" t="s">
        <v>380</v>
      </c>
      <c r="C113" t="s">
        <v>504</v>
      </c>
      <c r="D113">
        <v>2016</v>
      </c>
      <c r="E113" s="1">
        <v>0.63269675925925928</v>
      </c>
      <c r="F113" s="1">
        <v>0.63290509259259264</v>
      </c>
      <c r="G113" s="1">
        <v>0.63395833333333329</v>
      </c>
      <c r="H113" s="1">
        <v>0.63665509259259256</v>
      </c>
      <c r="I113" s="1">
        <v>0.6346180555555555</v>
      </c>
      <c r="J113" s="1">
        <v>0.63866898148148143</v>
      </c>
      <c r="K113" s="1">
        <v>0.64189814814814816</v>
      </c>
      <c r="L113" s="1">
        <v>0.64331018518518523</v>
      </c>
      <c r="M113" s="1">
        <v>0.64439814814814811</v>
      </c>
      <c r="N113" s="1" t="s">
        <v>54</v>
      </c>
      <c r="O113" s="1" t="s">
        <v>34</v>
      </c>
      <c r="P113" s="1" t="s">
        <v>55</v>
      </c>
      <c r="S113" s="1">
        <v>2.083333333333659E-4</v>
      </c>
      <c r="T113" s="1">
        <v>1.0532407407406463E-3</v>
      </c>
      <c r="U113" s="1">
        <v>6.5972222222221433E-4</v>
      </c>
      <c r="V113" s="1">
        <v>2.6967592592592737E-3</v>
      </c>
      <c r="W113" s="1">
        <v>2.0138888888888706E-3</v>
      </c>
      <c r="X113" s="1">
        <v>7.2800925925926574E-3</v>
      </c>
      <c r="Y113" s="1">
        <v>9.3518518518519445E-3</v>
      </c>
      <c r="Z113" s="1">
        <v>1.1701388888888831E-2</v>
      </c>
    </row>
    <row r="114" spans="1:26" x14ac:dyDescent="0.25">
      <c r="A114">
        <v>3</v>
      </c>
      <c r="B114" t="s">
        <v>393</v>
      </c>
      <c r="C114" t="s">
        <v>383</v>
      </c>
      <c r="D114">
        <v>2013</v>
      </c>
      <c r="E114" s="1">
        <v>0.63793981481481477</v>
      </c>
      <c r="F114" s="1">
        <v>0.63834490740740746</v>
      </c>
      <c r="G114" s="1">
        <v>0.63946759259259256</v>
      </c>
      <c r="H114" s="1">
        <v>0.64422453703703708</v>
      </c>
      <c r="I114" s="1">
        <v>0.64064814814814819</v>
      </c>
      <c r="J114" s="1">
        <v>0.64533564814814814</v>
      </c>
      <c r="K114" s="1">
        <v>0.65133101851851849</v>
      </c>
      <c r="L114" s="1">
        <v>0.65391203703703704</v>
      </c>
      <c r="M114" s="1">
        <v>0.65541666666666665</v>
      </c>
      <c r="N114" s="1" t="s">
        <v>54</v>
      </c>
      <c r="O114" s="1" t="s">
        <v>36</v>
      </c>
      <c r="P114" s="1" t="s">
        <v>55</v>
      </c>
      <c r="S114" s="1">
        <v>4.0509259259269292E-4</v>
      </c>
      <c r="T114" s="1">
        <v>1.1226851851851016E-3</v>
      </c>
      <c r="U114" s="1">
        <v>1.1805555555556291E-3</v>
      </c>
      <c r="V114" s="1">
        <v>4.7569444444445219E-3</v>
      </c>
      <c r="W114" s="1">
        <v>1.1111111111110628E-3</v>
      </c>
      <c r="X114" s="1">
        <v>1.0682870370370301E-2</v>
      </c>
      <c r="Y114" s="1">
        <v>1.4444444444444482E-2</v>
      </c>
      <c r="Z114" s="1">
        <v>1.7476851851851882E-2</v>
      </c>
    </row>
    <row r="115" spans="1:26" x14ac:dyDescent="0.25">
      <c r="A115">
        <v>1</v>
      </c>
      <c r="B115" t="s">
        <v>11</v>
      </c>
      <c r="C115" t="s">
        <v>355</v>
      </c>
      <c r="D115">
        <v>2014</v>
      </c>
      <c r="E115" s="1">
        <v>0.6782407407407407</v>
      </c>
      <c r="F115" s="1">
        <v>0.67847222222222225</v>
      </c>
      <c r="G115" s="1">
        <v>0.68030092592592595</v>
      </c>
      <c r="H115" s="1">
        <v>0.6818981481481482</v>
      </c>
      <c r="I115" s="1">
        <v>0.6810532407407407</v>
      </c>
      <c r="J115" s="1">
        <v>0.68612268518518515</v>
      </c>
      <c r="K115" s="1">
        <v>0.68887731481481485</v>
      </c>
      <c r="L115" s="1">
        <v>0.69077546296296299</v>
      </c>
      <c r="M115" s="1">
        <v>0.69157407407407412</v>
      </c>
      <c r="N115" s="1" t="s">
        <v>384</v>
      </c>
      <c r="O115" s="1" t="s">
        <v>34</v>
      </c>
      <c r="P115" s="1" t="s">
        <v>55</v>
      </c>
      <c r="S115" s="1">
        <v>2.3148148148155467E-4</v>
      </c>
      <c r="T115" s="1">
        <v>1.8287037037036935E-3</v>
      </c>
      <c r="U115" s="1">
        <v>7.5231481481474738E-4</v>
      </c>
      <c r="V115" s="1">
        <v>1.5972222222222499E-3</v>
      </c>
      <c r="W115" s="1">
        <v>4.2245370370369573E-3</v>
      </c>
      <c r="X115" s="1">
        <v>7.8240740740741499E-3</v>
      </c>
      <c r="Y115" s="1">
        <v>1.0474537037037046E-2</v>
      </c>
      <c r="Z115" s="1">
        <v>1.3333333333333419E-2</v>
      </c>
    </row>
    <row r="116" spans="1:26" x14ac:dyDescent="0.25">
      <c r="A116">
        <v>1</v>
      </c>
      <c r="B116" t="s">
        <v>56</v>
      </c>
      <c r="C116" t="s">
        <v>25</v>
      </c>
      <c r="D116">
        <v>2017</v>
      </c>
      <c r="E116" s="1">
        <v>0.72572916666666665</v>
      </c>
      <c r="F116" s="1">
        <v>0.72591435185185182</v>
      </c>
      <c r="G116" s="1">
        <v>0.72652777777777777</v>
      </c>
      <c r="H116" s="1">
        <v>0.72976851851851854</v>
      </c>
      <c r="I116" s="1">
        <v>0.72729166666666667</v>
      </c>
      <c r="J116" s="1">
        <v>0.7324074074074074</v>
      </c>
      <c r="K116" s="1">
        <v>0.73458333333333337</v>
      </c>
      <c r="L116" s="1">
        <v>0.73486111111111108</v>
      </c>
      <c r="M116" s="1">
        <v>0.73643518518518514</v>
      </c>
      <c r="N116" s="1" t="s">
        <v>431</v>
      </c>
      <c r="O116" s="1" t="s">
        <v>34</v>
      </c>
      <c r="P116" s="1" t="s">
        <v>55</v>
      </c>
      <c r="S116" s="1">
        <v>1.8518518518517713E-4</v>
      </c>
      <c r="T116" s="1">
        <v>6.134259259259478E-4</v>
      </c>
      <c r="U116" s="1">
        <v>7.6388888888889728E-4</v>
      </c>
      <c r="V116" s="1">
        <v>3.2407407407407662E-3</v>
      </c>
      <c r="W116" s="1">
        <v>2.6388888888888573E-3</v>
      </c>
      <c r="X116" s="1">
        <v>7.2916666666666963E-3</v>
      </c>
      <c r="Y116" s="1">
        <v>8.3333333333333037E-3</v>
      </c>
      <c r="Z116" s="1">
        <v>1.070601851851849E-2</v>
      </c>
    </row>
    <row r="117" spans="1:26" x14ac:dyDescent="0.25">
      <c r="A117">
        <v>1</v>
      </c>
      <c r="B117" t="s">
        <v>359</v>
      </c>
      <c r="C117" t="s">
        <v>509</v>
      </c>
      <c r="D117">
        <v>2019</v>
      </c>
      <c r="E117" s="1">
        <v>0.74071759259259262</v>
      </c>
      <c r="F117" s="1">
        <v>0.7409027777777778</v>
      </c>
      <c r="G117" s="1">
        <v>0.74203703703703705</v>
      </c>
      <c r="H117" s="1">
        <v>0.7442361111111111</v>
      </c>
      <c r="I117" s="1">
        <v>0.74258101851851854</v>
      </c>
      <c r="J117" s="1">
        <v>0.74688657407407411</v>
      </c>
      <c r="K117" s="1">
        <v>0.75498842592592597</v>
      </c>
      <c r="L117" s="1">
        <v>0.75539351851851855</v>
      </c>
      <c r="M117" s="1">
        <v>0.75798611111111114</v>
      </c>
      <c r="N117" s="1" t="s">
        <v>54</v>
      </c>
      <c r="O117" s="1" t="s">
        <v>34</v>
      </c>
      <c r="P117" s="1" t="s">
        <v>55</v>
      </c>
      <c r="S117" s="1">
        <v>1.8518518518517713E-4</v>
      </c>
      <c r="T117" s="1">
        <v>1.1342592592592515E-3</v>
      </c>
      <c r="U117" s="1">
        <v>5.439814814814925E-4</v>
      </c>
      <c r="V117" s="1">
        <v>2.1990740740740478E-3</v>
      </c>
      <c r="W117" s="1">
        <v>2.6504629629630072E-3</v>
      </c>
      <c r="X117" s="1">
        <v>1.2407407407407423E-2</v>
      </c>
      <c r="Y117" s="1">
        <v>1.3356481481481497E-2</v>
      </c>
      <c r="Z117" s="1">
        <v>1.7268518518518516E-2</v>
      </c>
    </row>
    <row r="118" spans="1:26" x14ac:dyDescent="0.25">
      <c r="A118">
        <v>2</v>
      </c>
      <c r="B118" t="s">
        <v>38</v>
      </c>
      <c r="C118" t="s">
        <v>21</v>
      </c>
      <c r="D118">
        <v>2019</v>
      </c>
      <c r="E118" s="1">
        <v>0.7414236111111111</v>
      </c>
      <c r="F118" s="1">
        <v>0.7415046296296296</v>
      </c>
      <c r="G118" s="1">
        <v>0.74241898148148144</v>
      </c>
      <c r="H118" s="1">
        <v>0.74578703703703708</v>
      </c>
      <c r="I118" s="1">
        <v>0.74354166666666666</v>
      </c>
      <c r="J118" s="1">
        <v>0.75064814814814818</v>
      </c>
      <c r="K118" s="1">
        <v>0.75646990740740738</v>
      </c>
      <c r="L118" s="1">
        <v>0.7603819444444444</v>
      </c>
      <c r="M118" s="1">
        <v>0.75996527777777778</v>
      </c>
      <c r="N118" s="1" t="s">
        <v>54</v>
      </c>
      <c r="O118" s="1" t="s">
        <v>36</v>
      </c>
      <c r="P118" s="1" t="s">
        <v>55</v>
      </c>
      <c r="S118" s="1">
        <v>8.1018518518494176E-5</v>
      </c>
      <c r="T118" s="1">
        <v>9.1435185185184675E-4</v>
      </c>
      <c r="U118" s="1">
        <v>1.1226851851852127E-3</v>
      </c>
      <c r="V118" s="1">
        <v>3.368055555555638E-3</v>
      </c>
      <c r="W118" s="1">
        <v>4.8611111111110938E-3</v>
      </c>
      <c r="X118" s="1">
        <v>1.2928240740740726E-2</v>
      </c>
      <c r="Y118" s="1">
        <v>1.7962962962962958E-2</v>
      </c>
      <c r="Z118" s="1">
        <v>1.8541666666666679E-2</v>
      </c>
    </row>
    <row r="119" spans="1:26" x14ac:dyDescent="0.25">
      <c r="A119">
        <v>3</v>
      </c>
      <c r="B119" t="s">
        <v>250</v>
      </c>
      <c r="C119" t="s">
        <v>271</v>
      </c>
      <c r="D119">
        <v>2020</v>
      </c>
      <c r="E119" s="1">
        <v>0.74630787037037039</v>
      </c>
      <c r="F119" s="1">
        <v>0.74646990740740737</v>
      </c>
      <c r="G119" s="1">
        <v>0.7475694444444444</v>
      </c>
      <c r="H119" s="1">
        <v>0.75186342592592592</v>
      </c>
      <c r="I119" s="1">
        <v>0.74814814814814812</v>
      </c>
      <c r="J119" s="1">
        <v>0.75453703703703701</v>
      </c>
      <c r="K119" s="1">
        <v>0.75709490740740737</v>
      </c>
      <c r="L119" s="1">
        <v>0.7621296296296296</v>
      </c>
      <c r="M119" s="1">
        <v>0.77181712962962967</v>
      </c>
      <c r="N119" s="1" t="s">
        <v>510</v>
      </c>
      <c r="O119" s="1" t="s">
        <v>34</v>
      </c>
      <c r="P119" s="1" t="s">
        <v>55</v>
      </c>
      <c r="S119" s="1">
        <v>1.6203703703698835E-4</v>
      </c>
      <c r="T119" s="1">
        <v>1.0995370370370239E-3</v>
      </c>
      <c r="U119" s="1">
        <v>5.7870370370372015E-4</v>
      </c>
      <c r="V119" s="1">
        <v>4.2939814814815236E-3</v>
      </c>
      <c r="W119" s="1">
        <v>2.673611111111085E-3</v>
      </c>
      <c r="X119" s="1">
        <v>8.9467592592592515E-3</v>
      </c>
      <c r="Y119" s="1">
        <v>1.4560185185185204E-2</v>
      </c>
      <c r="Z119" s="1">
        <v>2.5509259259259287E-2</v>
      </c>
    </row>
    <row r="120" spans="1:26" x14ac:dyDescent="0.25">
      <c r="A120">
        <v>3</v>
      </c>
      <c r="B120" t="s">
        <v>359</v>
      </c>
      <c r="C120" t="s">
        <v>511</v>
      </c>
      <c r="D120">
        <v>2009</v>
      </c>
      <c r="E120" s="1">
        <v>0.76157407407407407</v>
      </c>
      <c r="F120" s="1">
        <v>0.76172453703703702</v>
      </c>
      <c r="G120" s="1">
        <v>0.76340277777777776</v>
      </c>
      <c r="H120" s="1">
        <v>0.76968749999999997</v>
      </c>
      <c r="I120" s="1">
        <v>0.76476851851851857</v>
      </c>
      <c r="J120" s="1">
        <v>0.77359953703703699</v>
      </c>
      <c r="K120" s="1">
        <v>0.77628472222222222</v>
      </c>
      <c r="L120" s="1">
        <v>0.77855324074074073</v>
      </c>
      <c r="M120" s="1">
        <v>0.78023148148148147</v>
      </c>
      <c r="N120" s="1" t="s">
        <v>54</v>
      </c>
      <c r="O120" s="1" t="s">
        <v>33</v>
      </c>
      <c r="P120" s="1" t="s">
        <v>55</v>
      </c>
      <c r="S120" s="1">
        <v>1.5046296296294948E-4</v>
      </c>
      <c r="T120" s="1">
        <v>1.678240740740744E-3</v>
      </c>
      <c r="U120" s="1">
        <v>1.3657407407408062E-3</v>
      </c>
      <c r="V120" s="1">
        <v>6.2847222222222054E-3</v>
      </c>
      <c r="W120" s="1">
        <v>3.9120370370370194E-3</v>
      </c>
      <c r="X120" s="1">
        <v>1.1516203703703654E-2</v>
      </c>
      <c r="Y120" s="1">
        <v>1.5150462962962963E-2</v>
      </c>
      <c r="Z120" s="1">
        <v>1.86574074074074E-2</v>
      </c>
    </row>
    <row r="121" spans="1:26" x14ac:dyDescent="0.25">
      <c r="A121">
        <v>4</v>
      </c>
      <c r="B121" t="s">
        <v>359</v>
      </c>
      <c r="C121" t="s">
        <v>509</v>
      </c>
      <c r="D121">
        <v>2014</v>
      </c>
      <c r="E121" s="1">
        <v>0.76758101851851857</v>
      </c>
      <c r="F121" s="1">
        <v>0.7678935185185185</v>
      </c>
      <c r="G121" s="1">
        <v>0.76884259259259258</v>
      </c>
      <c r="H121" s="1">
        <v>0.77249999999999996</v>
      </c>
      <c r="I121" s="1">
        <v>0.76967592592592593</v>
      </c>
      <c r="J121" s="1">
        <v>0.77591435185185187</v>
      </c>
      <c r="K121" s="1">
        <v>0.77937500000000004</v>
      </c>
      <c r="L121" s="1">
        <v>0.78003472222222225</v>
      </c>
      <c r="M121" s="1">
        <v>0.78077546296296296</v>
      </c>
      <c r="N121" s="1" t="s">
        <v>54</v>
      </c>
      <c r="O121" s="1" t="s">
        <v>34</v>
      </c>
      <c r="P121" s="1" t="s">
        <v>55</v>
      </c>
      <c r="S121" s="1">
        <v>3.1249999999993783E-4</v>
      </c>
      <c r="T121" s="1">
        <v>9.490740740740744E-4</v>
      </c>
      <c r="U121" s="1">
        <v>8.3333333333335258E-4</v>
      </c>
      <c r="V121" s="1">
        <v>3.657407407407387E-3</v>
      </c>
      <c r="W121" s="1">
        <v>3.4143518518519045E-3</v>
      </c>
      <c r="X121" s="1">
        <v>9.6990740740741099E-3</v>
      </c>
      <c r="Y121" s="1">
        <v>1.1192129629629677E-2</v>
      </c>
      <c r="Z121" s="1">
        <v>1.3194444444444398E-2</v>
      </c>
    </row>
    <row r="122" spans="1:26" x14ac:dyDescent="0.25">
      <c r="A122">
        <v>1</v>
      </c>
      <c r="B122" t="s">
        <v>38</v>
      </c>
      <c r="C122" t="s">
        <v>435</v>
      </c>
      <c r="D122">
        <v>2017</v>
      </c>
      <c r="E122" s="1">
        <v>0.46005787037037038</v>
      </c>
      <c r="F122" s="1">
        <v>0.46035879629629628</v>
      </c>
      <c r="G122" s="1">
        <v>0.46162037037037035</v>
      </c>
      <c r="H122" s="1">
        <v>0.46336805555555555</v>
      </c>
      <c r="I122" s="1">
        <v>0.46236111111111111</v>
      </c>
      <c r="J122" s="1">
        <v>0.46457175925925925</v>
      </c>
      <c r="K122" s="1">
        <v>0.46590277777777778</v>
      </c>
      <c r="L122" s="1">
        <v>0.4667013888888889</v>
      </c>
      <c r="M122" s="1">
        <v>0.46726851851851853</v>
      </c>
      <c r="N122" s="1" t="s">
        <v>54</v>
      </c>
      <c r="O122" s="1" t="s">
        <v>33</v>
      </c>
      <c r="P122" s="1" t="s">
        <v>55</v>
      </c>
      <c r="S122" s="1">
        <v>3.0092592592589895E-4</v>
      </c>
      <c r="T122" s="1">
        <v>1.2615740740740677E-3</v>
      </c>
      <c r="U122" s="1">
        <v>7.4074074074076401E-4</v>
      </c>
      <c r="V122" s="1">
        <v>1.7476851851851993E-3</v>
      </c>
      <c r="W122" s="1">
        <v>1.2037037037037068E-3</v>
      </c>
      <c r="X122" s="1">
        <v>3.5416666666666652E-3</v>
      </c>
      <c r="Y122" s="1">
        <v>5.0810185185185541E-3</v>
      </c>
      <c r="Z122" s="1">
        <v>7.2106481481481466E-3</v>
      </c>
    </row>
    <row r="123" spans="1:26" x14ac:dyDescent="0.25">
      <c r="A123">
        <v>2</v>
      </c>
      <c r="B123" t="s">
        <v>250</v>
      </c>
      <c r="C123" t="s">
        <v>512</v>
      </c>
      <c r="D123">
        <v>2003</v>
      </c>
      <c r="E123" s="1">
        <v>0.46484953703703702</v>
      </c>
      <c r="F123" s="1">
        <v>0.46505787037037039</v>
      </c>
      <c r="G123" s="1">
        <v>0.46557870370370369</v>
      </c>
      <c r="H123" s="1">
        <v>0.4748263888888889</v>
      </c>
      <c r="I123" s="1">
        <v>0.47312500000000002</v>
      </c>
      <c r="J123" s="1">
        <v>0.47680555555555554</v>
      </c>
      <c r="K123" s="1">
        <v>0.48760416666666667</v>
      </c>
      <c r="L123" s="1">
        <v>0.48797453703703703</v>
      </c>
      <c r="M123" s="1">
        <v>0.48873842592592592</v>
      </c>
      <c r="N123" s="1" t="s">
        <v>513</v>
      </c>
      <c r="O123" s="1" t="s">
        <v>33</v>
      </c>
      <c r="P123" s="1" t="s">
        <v>55</v>
      </c>
      <c r="S123" s="1">
        <v>2.083333333333659E-4</v>
      </c>
      <c r="T123" s="1">
        <v>5.2083333333330373E-4</v>
      </c>
      <c r="U123" s="1">
        <v>7.5462962962963287E-3</v>
      </c>
      <c r="V123" s="1">
        <v>9.247685185185206E-3</v>
      </c>
      <c r="W123" s="1">
        <v>1.979166666666643E-3</v>
      </c>
      <c r="X123" s="1">
        <v>1.4479166666666654E-2</v>
      </c>
      <c r="Y123" s="1">
        <v>2.2395833333333337E-2</v>
      </c>
      <c r="Z123" s="1">
        <v>2.3888888888888904E-2</v>
      </c>
    </row>
    <row r="124" spans="1:26" x14ac:dyDescent="0.25">
      <c r="A124">
        <v>4</v>
      </c>
      <c r="B124" t="s">
        <v>8</v>
      </c>
      <c r="C124" t="s">
        <v>383</v>
      </c>
      <c r="D124">
        <v>2008</v>
      </c>
      <c r="E124" s="1">
        <v>0.47193287037037035</v>
      </c>
      <c r="F124" s="1">
        <v>0.47212962962962962</v>
      </c>
      <c r="G124" s="1">
        <v>0.47302083333333333</v>
      </c>
      <c r="H124" s="1">
        <v>0.47657407407407409</v>
      </c>
      <c r="I124" s="1">
        <v>0.47394675925925928</v>
      </c>
      <c r="J124" s="1">
        <v>0.47896990740740741</v>
      </c>
      <c r="K124" s="1">
        <v>0.49815972222222221</v>
      </c>
      <c r="L124" s="1">
        <v>0.49863425925925925</v>
      </c>
      <c r="M124" s="1">
        <v>0.50002314814814819</v>
      </c>
      <c r="N124" s="1" t="s">
        <v>514</v>
      </c>
      <c r="O124" s="1" t="s">
        <v>36</v>
      </c>
      <c r="P124" s="1" t="s">
        <v>55</v>
      </c>
      <c r="S124" s="1">
        <v>1.9675925925927151E-4</v>
      </c>
      <c r="T124" s="1">
        <v>8.9120370370371349E-4</v>
      </c>
      <c r="U124" s="1">
        <v>9.2592592592594114E-4</v>
      </c>
      <c r="V124" s="1">
        <v>3.5532407407407596E-3</v>
      </c>
      <c r="W124" s="1">
        <v>2.3958333333333193E-3</v>
      </c>
      <c r="X124" s="1">
        <v>2.4212962962962936E-2</v>
      </c>
      <c r="Y124" s="1">
        <v>2.5613425925925914E-2</v>
      </c>
      <c r="Z124" s="1">
        <v>2.8090277777777839E-2</v>
      </c>
    </row>
    <row r="125" spans="1:26" x14ac:dyDescent="0.25">
      <c r="A125">
        <v>1</v>
      </c>
      <c r="B125" t="s">
        <v>8</v>
      </c>
      <c r="C125" t="s">
        <v>517</v>
      </c>
      <c r="D125">
        <v>2018</v>
      </c>
      <c r="E125" s="1">
        <v>0.50067129629629625</v>
      </c>
      <c r="F125" s="1">
        <v>0.50084490740740739</v>
      </c>
      <c r="G125" s="1">
        <v>0.50145833333333334</v>
      </c>
      <c r="H125" s="1">
        <v>0.50383101851851853</v>
      </c>
      <c r="I125" s="1">
        <v>0.50202546296296291</v>
      </c>
      <c r="J125" s="1">
        <v>0.50583333333333336</v>
      </c>
      <c r="K125" s="1">
        <v>0.50789351851851849</v>
      </c>
      <c r="L125" s="1">
        <v>0.50864583333333335</v>
      </c>
      <c r="M125" s="1">
        <v>0.51061342592592596</v>
      </c>
      <c r="N125" s="1" t="s">
        <v>518</v>
      </c>
      <c r="O125" s="1" t="s">
        <v>34</v>
      </c>
      <c r="P125" s="1" t="s">
        <v>55</v>
      </c>
      <c r="S125" s="1">
        <v>1.7361111111113825E-4</v>
      </c>
      <c r="T125" s="1">
        <v>6.134259259259478E-4</v>
      </c>
      <c r="U125" s="1">
        <v>5.6712962962957025E-4</v>
      </c>
      <c r="V125" s="1">
        <v>2.372685185185186E-3</v>
      </c>
      <c r="W125" s="1">
        <v>2.0023148148148318E-3</v>
      </c>
      <c r="X125" s="1">
        <v>5.8680555555555847E-3</v>
      </c>
      <c r="Y125" s="1">
        <v>7.1875000000000133E-3</v>
      </c>
      <c r="Z125" s="1">
        <v>9.9421296296297035E-3</v>
      </c>
    </row>
    <row r="126" spans="1:26" x14ac:dyDescent="0.25">
      <c r="A126">
        <v>2</v>
      </c>
      <c r="B126" t="s">
        <v>56</v>
      </c>
      <c r="C126" t="s">
        <v>519</v>
      </c>
      <c r="D126">
        <v>2024</v>
      </c>
      <c r="E126" s="1">
        <v>0.50695601851851857</v>
      </c>
      <c r="F126" s="1">
        <v>0.50711805555555556</v>
      </c>
      <c r="G126" s="1">
        <v>0.50767361111111109</v>
      </c>
      <c r="H126" s="1">
        <v>0.50981481481481483</v>
      </c>
      <c r="I126" s="1">
        <v>0.50831018518518523</v>
      </c>
      <c r="J126" s="1">
        <v>0.5116087962962963</v>
      </c>
      <c r="K126" s="1">
        <v>0.51364583333333336</v>
      </c>
      <c r="L126" s="1">
        <v>0.51648148148148143</v>
      </c>
      <c r="M126" s="1">
        <v>0.51733796296296297</v>
      </c>
      <c r="N126" s="1" t="s">
        <v>333</v>
      </c>
      <c r="O126" s="1" t="s">
        <v>34</v>
      </c>
      <c r="P126" s="1" t="s">
        <v>55</v>
      </c>
      <c r="S126" s="1">
        <v>1.6203703703698835E-4</v>
      </c>
      <c r="T126" s="1">
        <v>5.5555555555553138E-4</v>
      </c>
      <c r="U126" s="1">
        <v>6.3657407407413658E-4</v>
      </c>
      <c r="V126" s="1">
        <v>2.1412037037037424E-3</v>
      </c>
      <c r="W126" s="1">
        <v>1.7939814814814659E-3</v>
      </c>
      <c r="X126" s="1">
        <v>5.335648148148131E-3</v>
      </c>
      <c r="Y126" s="1">
        <v>8.8078703703703409E-3</v>
      </c>
      <c r="Z126" s="1">
        <v>1.0381944444444402E-2</v>
      </c>
    </row>
    <row r="127" spans="1:26" x14ac:dyDescent="0.25">
      <c r="A127">
        <v>4</v>
      </c>
      <c r="B127" t="s">
        <v>250</v>
      </c>
      <c r="C127" t="s">
        <v>522</v>
      </c>
      <c r="D127">
        <v>2001</v>
      </c>
      <c r="E127" s="1">
        <v>0.52854166666666669</v>
      </c>
      <c r="F127" s="1">
        <v>0.52871527777777783</v>
      </c>
      <c r="G127" s="1">
        <v>0.53062500000000001</v>
      </c>
      <c r="H127" s="1">
        <v>0.53641203703703699</v>
      </c>
      <c r="I127" s="1">
        <v>0.53296296296296297</v>
      </c>
      <c r="J127" s="1">
        <v>0.53896990740740736</v>
      </c>
      <c r="K127" s="1">
        <v>0.54503472222222227</v>
      </c>
      <c r="L127" s="1">
        <v>0.54530092592592594</v>
      </c>
      <c r="M127" s="1">
        <v>0.54650462962962965</v>
      </c>
      <c r="N127" s="1" t="s">
        <v>54</v>
      </c>
      <c r="O127" s="1" t="s">
        <v>33</v>
      </c>
      <c r="P127" s="1" t="s">
        <v>55</v>
      </c>
      <c r="S127" s="1">
        <v>1.7361111111113825E-4</v>
      </c>
      <c r="T127" s="1">
        <v>1.9097222222221877E-3</v>
      </c>
      <c r="U127" s="1">
        <v>2.3379629629629584E-3</v>
      </c>
      <c r="V127" s="1">
        <v>5.7870370370369795E-3</v>
      </c>
      <c r="W127" s="1">
        <v>2.5578703703703631E-3</v>
      </c>
      <c r="X127" s="1">
        <v>1.2071759259259296E-2</v>
      </c>
      <c r="Y127" s="1">
        <v>1.4675925925925926E-2</v>
      </c>
      <c r="Z127" s="1">
        <v>1.7962962962962958E-2</v>
      </c>
    </row>
    <row r="128" spans="1:26" x14ac:dyDescent="0.25">
      <c r="A128">
        <v>2</v>
      </c>
      <c r="B128" t="s">
        <v>8</v>
      </c>
      <c r="C128" t="s">
        <v>523</v>
      </c>
      <c r="D128">
        <v>2011</v>
      </c>
      <c r="E128" s="1">
        <v>0.53096064814814814</v>
      </c>
      <c r="F128" s="1">
        <v>0.53160879629629632</v>
      </c>
      <c r="G128" s="1">
        <v>0.53533564814814816</v>
      </c>
      <c r="H128" s="1">
        <v>0.53986111111111112</v>
      </c>
      <c r="I128" s="1">
        <v>0.53707175925925921</v>
      </c>
      <c r="J128" s="1">
        <v>0.54168981481481482</v>
      </c>
      <c r="K128" s="1">
        <v>0.55315972222222221</v>
      </c>
      <c r="L128" s="1">
        <v>0.55383101851851857</v>
      </c>
      <c r="M128" s="1">
        <v>0.55513888888888885</v>
      </c>
      <c r="N128" s="1" t="s">
        <v>54</v>
      </c>
      <c r="O128" s="1" t="s">
        <v>34</v>
      </c>
      <c r="P128" s="1" t="s">
        <v>55</v>
      </c>
      <c r="S128" s="1">
        <v>6.4814814814817545E-4</v>
      </c>
      <c r="T128" s="1">
        <v>3.7268518518518423E-3</v>
      </c>
      <c r="U128" s="1">
        <v>1.7361111111110494E-3</v>
      </c>
      <c r="V128" s="1">
        <v>4.5254629629629672E-3</v>
      </c>
      <c r="W128" s="1">
        <v>1.8287037037036935E-3</v>
      </c>
      <c r="X128" s="1">
        <v>1.6087962962962998E-2</v>
      </c>
      <c r="Y128" s="1">
        <v>1.8495370370370412E-2</v>
      </c>
      <c r="Z128" s="1">
        <v>2.4178240740740709E-2</v>
      </c>
    </row>
    <row r="129" spans="1:26" x14ac:dyDescent="0.25">
      <c r="A129">
        <v>3</v>
      </c>
      <c r="B129" t="s">
        <v>8</v>
      </c>
      <c r="C129" t="s">
        <v>495</v>
      </c>
      <c r="D129">
        <v>2010</v>
      </c>
      <c r="E129" s="1">
        <v>0.53498842592592588</v>
      </c>
      <c r="F129" s="1">
        <v>0.5365509259259259</v>
      </c>
      <c r="G129" s="1">
        <v>0.54009259259259257</v>
      </c>
      <c r="H129" s="1">
        <v>0.54766203703703709</v>
      </c>
      <c r="I129" s="1">
        <v>0.54116898148148151</v>
      </c>
      <c r="J129" s="1">
        <v>0.55115740740740737</v>
      </c>
      <c r="K129" s="1">
        <v>0.55538194444444444</v>
      </c>
      <c r="L129" s="1">
        <v>0.55556712962962962</v>
      </c>
      <c r="M129" s="1">
        <v>0.55746527777777777</v>
      </c>
      <c r="N129" s="1" t="s">
        <v>518</v>
      </c>
      <c r="O129" s="1" t="s">
        <v>33</v>
      </c>
      <c r="P129" s="1" t="s">
        <v>55</v>
      </c>
      <c r="S129" s="1">
        <v>1.5625000000000222E-3</v>
      </c>
      <c r="T129" s="1">
        <v>3.5416666666666652E-3</v>
      </c>
      <c r="U129" s="1">
        <v>1.0763888888889461E-3</v>
      </c>
      <c r="V129" s="1">
        <v>7.5694444444445175E-3</v>
      </c>
      <c r="W129" s="1">
        <v>3.4953703703702876E-3</v>
      </c>
      <c r="X129" s="1">
        <v>1.4212962962962927E-2</v>
      </c>
      <c r="Y129" s="1">
        <v>1.5474537037037051E-2</v>
      </c>
      <c r="Z129" s="1">
        <v>2.2476851851851887E-2</v>
      </c>
    </row>
    <row r="130" spans="1:26" x14ac:dyDescent="0.25">
      <c r="A130">
        <v>3</v>
      </c>
      <c r="B130" t="s">
        <v>372</v>
      </c>
      <c r="C130" t="s">
        <v>373</v>
      </c>
      <c r="D130">
        <v>2020</v>
      </c>
      <c r="E130" s="1">
        <v>0.56524305555555554</v>
      </c>
      <c r="F130" s="1">
        <v>0.56562500000000004</v>
      </c>
      <c r="G130" s="1">
        <v>0.56641203703703702</v>
      </c>
      <c r="H130" s="1">
        <v>0.5680439814814815</v>
      </c>
      <c r="I130" s="1">
        <v>0.56704861111111116</v>
      </c>
      <c r="J130" s="1">
        <v>0.56883101851851847</v>
      </c>
      <c r="K130" s="1">
        <v>0.57362268518518522</v>
      </c>
      <c r="L130" s="1">
        <v>0.57425925925925925</v>
      </c>
      <c r="M130" s="1">
        <v>0.57560185185185186</v>
      </c>
      <c r="N130" s="1" t="s">
        <v>333</v>
      </c>
      <c r="O130" s="1" t="s">
        <v>36</v>
      </c>
      <c r="P130" s="1" t="s">
        <v>55</v>
      </c>
      <c r="S130" s="1">
        <v>3.8194444444450415E-4</v>
      </c>
      <c r="T130" s="1">
        <v>7.8703703703697503E-4</v>
      </c>
      <c r="U130" s="1">
        <v>6.3657407407413658E-4</v>
      </c>
      <c r="V130" s="1">
        <v>1.6319444444444775E-3</v>
      </c>
      <c r="W130" s="1">
        <v>7.8703703703697503E-4</v>
      </c>
      <c r="X130" s="1">
        <v>6.5740740740740655E-3</v>
      </c>
      <c r="Y130" s="1">
        <v>7.8472222222222276E-3</v>
      </c>
      <c r="Z130" s="1">
        <v>1.0358796296296324E-2</v>
      </c>
    </row>
    <row r="131" spans="1:26" x14ac:dyDescent="0.25">
      <c r="A131">
        <v>4</v>
      </c>
      <c r="B131" t="s">
        <v>38</v>
      </c>
      <c r="C131" t="s">
        <v>525</v>
      </c>
      <c r="D131">
        <v>2022</v>
      </c>
      <c r="E131" s="1">
        <v>0.57828703703703699</v>
      </c>
      <c r="F131" s="1">
        <v>0.57840277777777782</v>
      </c>
      <c r="G131" s="1">
        <v>0.57928240740740744</v>
      </c>
      <c r="H131" s="1">
        <v>0.58439814814814817</v>
      </c>
      <c r="I131" s="1">
        <v>0.58067129629629632</v>
      </c>
      <c r="J131" s="1">
        <v>0.58648148148148149</v>
      </c>
      <c r="K131" s="1">
        <v>0.58936342592592594</v>
      </c>
      <c r="L131" s="1">
        <v>0.59002314814814816</v>
      </c>
      <c r="M131" s="1">
        <v>0.59060185185185188</v>
      </c>
      <c r="N131" s="1" t="s">
        <v>54</v>
      </c>
      <c r="O131" s="1" t="s">
        <v>36</v>
      </c>
      <c r="P131" s="1" t="s">
        <v>55</v>
      </c>
      <c r="S131" s="1">
        <v>1.1574074074083285E-4</v>
      </c>
      <c r="T131" s="1">
        <v>8.796296296296191E-4</v>
      </c>
      <c r="U131" s="1">
        <v>1.388888888888884E-3</v>
      </c>
      <c r="V131" s="1">
        <v>5.1157407407407263E-3</v>
      </c>
      <c r="W131" s="1">
        <v>2.0833333333333259E-3</v>
      </c>
      <c r="X131" s="1">
        <v>8.6921296296296191E-3</v>
      </c>
      <c r="Y131" s="1">
        <v>1.0740740740740717E-2</v>
      </c>
      <c r="Z131" s="1">
        <v>1.2314814814814889E-2</v>
      </c>
    </row>
    <row r="132" spans="1:26" x14ac:dyDescent="0.25">
      <c r="A132">
        <v>1</v>
      </c>
      <c r="B132" t="s">
        <v>38</v>
      </c>
      <c r="C132" t="s">
        <v>397</v>
      </c>
      <c r="D132">
        <v>2011</v>
      </c>
      <c r="E132" s="1">
        <v>0.59016203703703707</v>
      </c>
      <c r="F132" s="1">
        <v>0.59040509259259255</v>
      </c>
      <c r="G132" s="1">
        <v>0.59084490740740736</v>
      </c>
      <c r="H132" s="1">
        <v>0.59304398148148152</v>
      </c>
      <c r="I132" s="1">
        <v>0.59188657407407408</v>
      </c>
      <c r="J132" s="1">
        <v>0.59560185185185188</v>
      </c>
      <c r="K132" s="1">
        <v>0.60709490740740746</v>
      </c>
      <c r="L132" s="1">
        <v>0.6074074074074074</v>
      </c>
      <c r="M132" s="1">
        <v>0.6090740740740741</v>
      </c>
      <c r="N132" s="1" t="s">
        <v>526</v>
      </c>
      <c r="O132" s="1" t="s">
        <v>34</v>
      </c>
      <c r="P132" s="1" t="s">
        <v>55</v>
      </c>
      <c r="S132" s="1">
        <v>2.4305555555548253E-4</v>
      </c>
      <c r="T132" s="1">
        <v>4.3981481481480955E-4</v>
      </c>
      <c r="U132" s="1">
        <v>1.0416666666667185E-3</v>
      </c>
      <c r="V132" s="1">
        <v>2.1990740740741588E-3</v>
      </c>
      <c r="W132" s="1">
        <v>2.5578703703703631E-3</v>
      </c>
      <c r="X132" s="1">
        <v>1.5208333333333379E-2</v>
      </c>
      <c r="Y132" s="1">
        <v>1.6562500000000036E-2</v>
      </c>
      <c r="Z132" s="1">
        <v>1.8912037037037033E-2</v>
      </c>
    </row>
    <row r="133" spans="1:26" x14ac:dyDescent="0.25">
      <c r="A133">
        <v>4</v>
      </c>
      <c r="B133" t="s">
        <v>38</v>
      </c>
      <c r="C133" t="s">
        <v>525</v>
      </c>
      <c r="D133">
        <v>2023</v>
      </c>
      <c r="E133" s="1">
        <v>0.59737268518518516</v>
      </c>
      <c r="F133" s="1">
        <v>0.59755787037037034</v>
      </c>
      <c r="G133" s="1">
        <v>0.59914351851851855</v>
      </c>
      <c r="H133" s="1">
        <v>0.60503472222222221</v>
      </c>
      <c r="I133" s="1">
        <v>0.60093750000000001</v>
      </c>
      <c r="J133" s="1">
        <v>0.60503472222222221</v>
      </c>
      <c r="K133" s="1">
        <v>0.61597222222222225</v>
      </c>
      <c r="L133" s="1">
        <v>0.62740740740740741</v>
      </c>
      <c r="M133" s="1">
        <v>0.62792824074074072</v>
      </c>
      <c r="N133" s="1" t="s">
        <v>528</v>
      </c>
      <c r="O133" s="1" t="s">
        <v>36</v>
      </c>
      <c r="P133" s="1" t="s">
        <v>55</v>
      </c>
      <c r="S133" s="1">
        <v>1.8518518518517713E-4</v>
      </c>
      <c r="T133" s="1">
        <v>1.585648148148211E-3</v>
      </c>
      <c r="U133" s="1">
        <v>1.7939814814814659E-3</v>
      </c>
      <c r="V133" s="1">
        <v>5.8912037037036624E-3</v>
      </c>
      <c r="W133" s="1">
        <v>0</v>
      </c>
      <c r="X133" s="1">
        <v>1.5034722222222241E-2</v>
      </c>
      <c r="Y133" s="1">
        <v>2.8263888888888866E-2</v>
      </c>
      <c r="Z133" s="1">
        <v>3.0555555555555558E-2</v>
      </c>
    </row>
    <row r="134" spans="1:26" x14ac:dyDescent="0.25">
      <c r="A134">
        <v>3</v>
      </c>
      <c r="B134" t="s">
        <v>38</v>
      </c>
      <c r="C134" t="s">
        <v>435</v>
      </c>
      <c r="D134">
        <v>2014</v>
      </c>
      <c r="E134" s="1">
        <v>0.601099537037037</v>
      </c>
      <c r="F134" s="1">
        <v>0.60121527777777772</v>
      </c>
      <c r="G134" s="1">
        <v>0.60409722222222217</v>
      </c>
      <c r="H134" s="1">
        <v>0.60946759259259264</v>
      </c>
      <c r="I134" s="1">
        <v>0.60481481481481481</v>
      </c>
      <c r="J134" s="1">
        <v>0.61223379629629626</v>
      </c>
      <c r="K134" s="1">
        <v>0.62072916666666667</v>
      </c>
      <c r="L134" s="1">
        <v>0.62105324074074075</v>
      </c>
      <c r="M134" s="1">
        <v>0.62333333333333329</v>
      </c>
      <c r="N134" s="1" t="s">
        <v>529</v>
      </c>
      <c r="O134" s="1" t="s">
        <v>33</v>
      </c>
      <c r="P134" s="1" t="s">
        <v>55</v>
      </c>
      <c r="S134" s="1">
        <v>1.1574074074072183E-4</v>
      </c>
      <c r="T134" s="1">
        <v>2.8819444444444509E-3</v>
      </c>
      <c r="U134" s="1">
        <v>7.1759259259263075E-4</v>
      </c>
      <c r="V134" s="1">
        <v>5.3703703703704697E-3</v>
      </c>
      <c r="W134" s="1">
        <v>2.766203703703618E-3</v>
      </c>
      <c r="X134" s="1">
        <v>1.591435185185186E-2</v>
      </c>
      <c r="Y134" s="1">
        <v>1.6956018518518579E-2</v>
      </c>
      <c r="Z134" s="1">
        <v>2.2233796296296293E-2</v>
      </c>
    </row>
    <row r="135" spans="1:26" x14ac:dyDescent="0.25">
      <c r="A135">
        <v>2</v>
      </c>
      <c r="B135" t="s">
        <v>322</v>
      </c>
      <c r="C135" t="s">
        <v>530</v>
      </c>
      <c r="D135">
        <v>2019</v>
      </c>
      <c r="E135" s="1">
        <v>0.60112268518518519</v>
      </c>
      <c r="F135" s="1">
        <v>0.60136574074074078</v>
      </c>
      <c r="G135" s="1">
        <v>0.60771990740740744</v>
      </c>
      <c r="H135" s="1">
        <v>0.61168981481481477</v>
      </c>
      <c r="I135" s="1">
        <v>0.60837962962962966</v>
      </c>
      <c r="J135" s="1">
        <v>0.61515046296296294</v>
      </c>
      <c r="K135" s="1">
        <v>0.62012731481481487</v>
      </c>
      <c r="L135" s="1">
        <v>0.62076388888888889</v>
      </c>
      <c r="M135" s="1">
        <v>0.62152777777777779</v>
      </c>
      <c r="N135" s="1" t="s">
        <v>343</v>
      </c>
      <c r="O135" s="1" t="s">
        <v>34</v>
      </c>
      <c r="P135" s="1" t="s">
        <v>55</v>
      </c>
      <c r="S135" s="1">
        <v>2.4305555555559355E-4</v>
      </c>
      <c r="T135" s="1">
        <v>6.3541666666666607E-3</v>
      </c>
      <c r="U135" s="1">
        <v>6.5972222222221433E-4</v>
      </c>
      <c r="V135" s="1">
        <v>3.9699074074073248E-3</v>
      </c>
      <c r="W135" s="1">
        <v>3.460648148148171E-3</v>
      </c>
      <c r="X135" s="1">
        <v>1.1747685185185208E-2</v>
      </c>
      <c r="Y135" s="1">
        <v>1.3043981481481448E-2</v>
      </c>
      <c r="Z135" s="1">
        <v>2.04050925925926E-2</v>
      </c>
    </row>
    <row r="136" spans="1:26" x14ac:dyDescent="0.25">
      <c r="A136">
        <v>1</v>
      </c>
      <c r="B136" t="s">
        <v>11</v>
      </c>
      <c r="C136" t="s">
        <v>467</v>
      </c>
      <c r="D136">
        <v>2023</v>
      </c>
      <c r="E136" s="1">
        <v>0.60966435185185186</v>
      </c>
      <c r="F136" s="1">
        <v>0.60982638888888885</v>
      </c>
      <c r="G136" s="1">
        <v>0.61165509259259254</v>
      </c>
      <c r="H136" s="1">
        <v>0.6157407407407407</v>
      </c>
      <c r="I136" s="1">
        <v>0.61371527777777779</v>
      </c>
      <c r="J136" s="1">
        <v>0.61884259259259256</v>
      </c>
      <c r="K136" s="1">
        <v>0.62483796296296301</v>
      </c>
      <c r="L136" s="1">
        <v>0.63177083333333328</v>
      </c>
      <c r="M136" s="1">
        <v>0.63615740740740745</v>
      </c>
      <c r="N136" s="1" t="s">
        <v>291</v>
      </c>
      <c r="O136" s="1" t="s">
        <v>34</v>
      </c>
      <c r="P136" s="1" t="s">
        <v>55</v>
      </c>
      <c r="S136" s="1">
        <v>1.6203703703698835E-4</v>
      </c>
      <c r="T136" s="1">
        <v>1.8287037037036935E-3</v>
      </c>
      <c r="U136" s="1">
        <v>2.0601851851852482E-3</v>
      </c>
      <c r="V136" s="1">
        <v>4.0856481481481577E-3</v>
      </c>
      <c r="W136" s="1">
        <v>3.1018518518518556E-3</v>
      </c>
      <c r="X136" s="1">
        <v>1.1122685185185222E-2</v>
      </c>
      <c r="Y136" s="1">
        <v>2.011574074074074E-2</v>
      </c>
      <c r="Z136" s="1">
        <v>2.6493055555555589E-2</v>
      </c>
    </row>
    <row r="137" spans="1:26" x14ac:dyDescent="0.25">
      <c r="A137">
        <v>2</v>
      </c>
      <c r="B137" t="s">
        <v>38</v>
      </c>
      <c r="C137" t="s">
        <v>531</v>
      </c>
      <c r="D137">
        <v>2022</v>
      </c>
      <c r="E137" s="1">
        <v>0.61236111111111113</v>
      </c>
      <c r="F137" s="1">
        <v>0.61315972222222226</v>
      </c>
      <c r="G137" s="1">
        <v>0.62250000000000005</v>
      </c>
      <c r="H137" s="1">
        <v>0.62701388888888887</v>
      </c>
      <c r="I137" s="1">
        <v>0.62509259259259264</v>
      </c>
      <c r="J137" s="1">
        <v>0.62935185185185183</v>
      </c>
      <c r="K137" s="1">
        <v>0.63945601851851852</v>
      </c>
      <c r="L137" s="1">
        <v>0.6409259259259259</v>
      </c>
      <c r="M137" s="1">
        <v>0.64453703703703702</v>
      </c>
      <c r="N137" s="1" t="s">
        <v>54</v>
      </c>
      <c r="O137" s="1" t="s">
        <v>36</v>
      </c>
      <c r="P137" s="1" t="s">
        <v>55</v>
      </c>
      <c r="S137" s="1">
        <v>7.9861111111112493E-4</v>
      </c>
      <c r="T137" s="1">
        <v>9.3402777777777946E-3</v>
      </c>
      <c r="U137" s="1">
        <v>2.5925925925925908E-3</v>
      </c>
      <c r="V137" s="1">
        <v>4.5138888888888173E-3</v>
      </c>
      <c r="W137" s="1">
        <v>2.3379629629629584E-3</v>
      </c>
      <c r="X137" s="1">
        <v>1.4363425925925877E-2</v>
      </c>
      <c r="Y137" s="1">
        <v>1.8425925925925846E-2</v>
      </c>
      <c r="Z137" s="1">
        <v>3.2175925925925886E-2</v>
      </c>
    </row>
    <row r="138" spans="1:26" x14ac:dyDescent="0.25">
      <c r="A138">
        <v>3</v>
      </c>
      <c r="B138" t="s">
        <v>8</v>
      </c>
      <c r="C138" t="s">
        <v>239</v>
      </c>
      <c r="D138">
        <v>2024</v>
      </c>
      <c r="E138" s="1">
        <v>0.62211805555555555</v>
      </c>
      <c r="F138" s="1">
        <v>0.62231481481481477</v>
      </c>
      <c r="G138" s="1">
        <v>0.62461805555555561</v>
      </c>
      <c r="H138" s="1">
        <v>0.62827546296296299</v>
      </c>
      <c r="I138" s="1">
        <v>0.62612268518518521</v>
      </c>
      <c r="J138" s="1">
        <v>0.63043981481481481</v>
      </c>
      <c r="K138" s="1">
        <v>0.63574074074074072</v>
      </c>
      <c r="L138" s="1">
        <v>0.63854166666666667</v>
      </c>
      <c r="M138" s="1">
        <v>0.64047453703703705</v>
      </c>
      <c r="N138" s="1" t="s">
        <v>365</v>
      </c>
      <c r="O138" s="1" t="s">
        <v>36</v>
      </c>
      <c r="P138" s="1" t="s">
        <v>55</v>
      </c>
      <c r="S138" s="1">
        <v>1.96759259259216E-4</v>
      </c>
      <c r="T138" s="1">
        <v>2.3032407407408417E-3</v>
      </c>
      <c r="U138" s="1">
        <v>1.5046296296296058E-3</v>
      </c>
      <c r="V138" s="1">
        <v>3.657407407407387E-3</v>
      </c>
      <c r="W138" s="1">
        <v>2.1643518518518201E-3</v>
      </c>
      <c r="X138" s="1">
        <v>9.6180555555555047E-3</v>
      </c>
      <c r="Y138" s="1">
        <v>1.3923611111111067E-2</v>
      </c>
      <c r="Z138" s="1">
        <v>1.8356481481481501E-2</v>
      </c>
    </row>
    <row r="139" spans="1:26" x14ac:dyDescent="0.25">
      <c r="A139">
        <v>1</v>
      </c>
      <c r="B139" t="s">
        <v>38</v>
      </c>
      <c r="C139" t="s">
        <v>536</v>
      </c>
      <c r="D139">
        <v>2008</v>
      </c>
      <c r="E139" s="1">
        <v>0.68542824074074071</v>
      </c>
      <c r="F139" s="1">
        <v>0.68561342592592589</v>
      </c>
      <c r="G139" s="1">
        <v>0.68707175925925923</v>
      </c>
      <c r="H139" s="1">
        <v>0.69060185185185186</v>
      </c>
      <c r="I139" s="1">
        <v>0.6877199074074074</v>
      </c>
      <c r="J139" s="1">
        <v>0.69317129629629626</v>
      </c>
      <c r="K139" s="1">
        <v>0.69608796296296294</v>
      </c>
      <c r="L139" s="1">
        <v>0.69695601851851852</v>
      </c>
      <c r="M139" s="1">
        <v>0.69815972222222222</v>
      </c>
      <c r="N139" s="1" t="s">
        <v>54</v>
      </c>
      <c r="O139" s="1" t="s">
        <v>34</v>
      </c>
      <c r="P139" s="1" t="s">
        <v>55</v>
      </c>
      <c r="S139" s="1">
        <v>1.8518518518517713E-4</v>
      </c>
      <c r="T139" s="1">
        <v>1.4583333333333393E-3</v>
      </c>
      <c r="U139" s="1">
        <v>6.4814814814817545E-4</v>
      </c>
      <c r="V139" s="1">
        <v>3.5300925925926263E-3</v>
      </c>
      <c r="W139" s="1">
        <v>2.569444444444402E-3</v>
      </c>
      <c r="X139" s="1">
        <v>8.3680555555555314E-3</v>
      </c>
      <c r="Y139" s="1">
        <v>9.8842592592592871E-3</v>
      </c>
      <c r="Z139" s="1">
        <v>1.273148148148151E-2</v>
      </c>
    </row>
    <row r="140" spans="1:26" x14ac:dyDescent="0.25">
      <c r="A140">
        <v>3</v>
      </c>
      <c r="B140" t="s">
        <v>8</v>
      </c>
      <c r="C140" t="s">
        <v>383</v>
      </c>
      <c r="D140">
        <v>2007</v>
      </c>
      <c r="E140" s="1">
        <v>0.77652777777777782</v>
      </c>
      <c r="F140" s="1">
        <v>0.7769328703703704</v>
      </c>
      <c r="G140" s="1">
        <v>0.77968749999999998</v>
      </c>
      <c r="H140" s="1">
        <v>0.78243055555555552</v>
      </c>
      <c r="I140" s="1">
        <v>0.78043981481481484</v>
      </c>
      <c r="J140" s="1">
        <v>0.78418981481481487</v>
      </c>
      <c r="K140" s="1">
        <v>0.78960648148148149</v>
      </c>
      <c r="L140" s="1">
        <v>0.79049768518518515</v>
      </c>
      <c r="M140" s="1">
        <v>0.79075231481481478</v>
      </c>
      <c r="N140" s="1" t="s">
        <v>54</v>
      </c>
      <c r="O140" s="1" t="s">
        <v>36</v>
      </c>
      <c r="P140" s="1" t="s">
        <v>55</v>
      </c>
      <c r="S140" s="1">
        <v>4.050925925925819E-4</v>
      </c>
      <c r="T140" s="1">
        <v>2.7546296296295791E-3</v>
      </c>
      <c r="U140" s="1">
        <v>7.523148148148584E-4</v>
      </c>
      <c r="V140" s="1">
        <v>2.7430555555555403E-3</v>
      </c>
      <c r="W140" s="1">
        <v>1.7592592592593492E-3</v>
      </c>
      <c r="X140" s="1">
        <v>9.1666666666666563E-3</v>
      </c>
      <c r="Y140" s="1">
        <v>1.0810185185185173E-2</v>
      </c>
      <c r="Z140" s="1">
        <v>1.4224537037036966E-2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8203-E38B-42AA-8E1D-96E3341CE9FE}">
  <dimension ref="A1:Z13"/>
  <sheetViews>
    <sheetView workbookViewId="0">
      <selection sqref="A1:Z22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43</v>
      </c>
      <c r="N1" s="1" t="s">
        <v>44</v>
      </c>
      <c r="O1" s="1" t="s">
        <v>45</v>
      </c>
      <c r="P1" s="1" t="s">
        <v>46</v>
      </c>
      <c r="S1" s="1" t="s">
        <v>539</v>
      </c>
      <c r="T1" s="1" t="s">
        <v>540</v>
      </c>
      <c r="U1" s="1" t="s">
        <v>538</v>
      </c>
      <c r="V1" s="1" t="s">
        <v>541</v>
      </c>
      <c r="W1" s="1" t="s">
        <v>544</v>
      </c>
      <c r="X1" s="1" t="s">
        <v>542</v>
      </c>
      <c r="Y1" s="1" t="s">
        <v>545</v>
      </c>
      <c r="Z1" s="1" t="s">
        <v>543</v>
      </c>
    </row>
    <row r="2" spans="1:26" x14ac:dyDescent="0.25">
      <c r="A2">
        <v>2</v>
      </c>
      <c r="B2" t="s">
        <v>13</v>
      </c>
      <c r="C2" t="s">
        <v>27</v>
      </c>
      <c r="D2">
        <v>2012</v>
      </c>
      <c r="E2" s="1" t="s">
        <v>170</v>
      </c>
      <c r="F2" s="1" t="s">
        <v>171</v>
      </c>
      <c r="G2" s="1" t="s">
        <v>172</v>
      </c>
      <c r="H2" s="1" t="s">
        <v>173</v>
      </c>
      <c r="I2" s="1" t="s">
        <v>174</v>
      </c>
      <c r="J2" s="1" t="s">
        <v>175</v>
      </c>
      <c r="K2" s="1" t="s">
        <v>176</v>
      </c>
      <c r="L2" s="1" t="s">
        <v>177</v>
      </c>
      <c r="M2" s="1" t="s">
        <v>178</v>
      </c>
      <c r="N2" s="1" t="s">
        <v>179</v>
      </c>
      <c r="O2" s="1" t="s">
        <v>33</v>
      </c>
      <c r="P2" s="1" t="s">
        <v>180</v>
      </c>
      <c r="S2" s="1">
        <v>7.8703703703708605E-4</v>
      </c>
      <c r="T2" s="1">
        <v>3.9351851851850972E-3</v>
      </c>
      <c r="U2" s="1">
        <v>9.0277777777780788E-4</v>
      </c>
      <c r="V2" s="1">
        <v>2.7546296296296902E-3</v>
      </c>
      <c r="W2" s="1">
        <v>1.1574074074074403E-3</v>
      </c>
      <c r="X2" s="1">
        <v>6.6898148148147873E-3</v>
      </c>
      <c r="Y2" s="1">
        <v>1.201388888888888E-2</v>
      </c>
      <c r="Z2" s="1">
        <v>1.7280092592592555E-2</v>
      </c>
    </row>
    <row r="3" spans="1:26" x14ac:dyDescent="0.25">
      <c r="A3">
        <v>1</v>
      </c>
      <c r="B3" t="s">
        <v>16</v>
      </c>
      <c r="C3" t="s">
        <v>30</v>
      </c>
      <c r="D3">
        <v>2020</v>
      </c>
      <c r="E3" s="1" t="s">
        <v>200</v>
      </c>
      <c r="F3" s="1" t="s">
        <v>201</v>
      </c>
      <c r="G3" s="1" t="s">
        <v>202</v>
      </c>
      <c r="H3" s="1" t="s">
        <v>203</v>
      </c>
      <c r="I3" s="1" t="s">
        <v>204</v>
      </c>
      <c r="J3" s="1" t="s">
        <v>205</v>
      </c>
      <c r="K3" s="1" t="s">
        <v>206</v>
      </c>
      <c r="L3" s="1" t="s">
        <v>207</v>
      </c>
      <c r="M3" s="1" t="s">
        <v>208</v>
      </c>
      <c r="N3" s="1" t="s">
        <v>54</v>
      </c>
      <c r="O3" s="1" t="s">
        <v>34</v>
      </c>
      <c r="P3" s="1" t="s">
        <v>180</v>
      </c>
      <c r="S3" s="1">
        <v>2.3148148148144365E-4</v>
      </c>
      <c r="T3" s="1">
        <v>1.3310185185185786E-3</v>
      </c>
      <c r="U3" s="1">
        <v>1.0416666666666075E-3</v>
      </c>
      <c r="V3" s="1">
        <v>1.8518518518518823E-3</v>
      </c>
      <c r="W3" s="1">
        <v>3.159722222222161E-3</v>
      </c>
      <c r="X3" s="1">
        <v>5.2662037037037868E-3</v>
      </c>
      <c r="Y3" s="1">
        <v>6.423611111111116E-3</v>
      </c>
      <c r="Z3" s="1">
        <v>9.2708333333333393E-3</v>
      </c>
    </row>
    <row r="4" spans="1:26" x14ac:dyDescent="0.25">
      <c r="A4">
        <v>2</v>
      </c>
      <c r="B4" t="s">
        <v>16</v>
      </c>
      <c r="C4" t="s">
        <v>364</v>
      </c>
      <c r="D4">
        <v>2015</v>
      </c>
      <c r="E4" s="1">
        <v>0.61099537037037033</v>
      </c>
      <c r="F4" s="1">
        <v>0.61140046296296291</v>
      </c>
      <c r="G4" s="1">
        <v>0.61238425925925921</v>
      </c>
      <c r="H4" s="1">
        <v>0.61486111111111108</v>
      </c>
      <c r="I4" s="1">
        <v>0.61336805555555551</v>
      </c>
      <c r="J4" s="1">
        <v>0.6166666666666667</v>
      </c>
      <c r="K4" s="1">
        <v>0.61962962962962964</v>
      </c>
      <c r="L4" s="1">
        <v>0.62013888888888891</v>
      </c>
      <c r="M4" s="1">
        <v>0.6206828703703704</v>
      </c>
      <c r="N4" s="1" t="s">
        <v>365</v>
      </c>
      <c r="O4" s="1" t="s">
        <v>33</v>
      </c>
      <c r="P4" s="1" t="s">
        <v>180</v>
      </c>
      <c r="S4" s="1">
        <v>4.050925925925819E-4</v>
      </c>
      <c r="T4" s="1">
        <v>9.8379629629630205E-4</v>
      </c>
      <c r="U4" s="1">
        <v>9.8379629629630205E-4</v>
      </c>
      <c r="V4" s="1">
        <v>2.476851851851869E-3</v>
      </c>
      <c r="W4" s="1">
        <v>1.8055555555556158E-3</v>
      </c>
      <c r="X4" s="1">
        <v>6.2615740740741277E-3</v>
      </c>
      <c r="Y4" s="1">
        <v>7.7546296296296946E-3</v>
      </c>
      <c r="Z4" s="1">
        <v>9.6875000000000711E-3</v>
      </c>
    </row>
    <row r="5" spans="1:26" x14ac:dyDescent="0.25">
      <c r="A5">
        <v>3</v>
      </c>
      <c r="B5" t="s">
        <v>403</v>
      </c>
      <c r="C5" t="s">
        <v>404</v>
      </c>
      <c r="D5">
        <v>2009</v>
      </c>
      <c r="E5" s="1">
        <v>0.7101736111111111</v>
      </c>
      <c r="F5" s="1">
        <v>0.71037037037037032</v>
      </c>
      <c r="G5" s="1">
        <v>0.71134259259259258</v>
      </c>
      <c r="H5" s="1">
        <v>0.71481481481481479</v>
      </c>
      <c r="I5" s="1">
        <v>0.7129861111111111</v>
      </c>
      <c r="J5" s="1">
        <v>0.71652777777777776</v>
      </c>
      <c r="K5" s="1">
        <v>0.72252314814814811</v>
      </c>
      <c r="L5" s="1">
        <v>0.72417824074074078</v>
      </c>
      <c r="M5" s="1">
        <v>0.7247569444444445</v>
      </c>
      <c r="N5" s="1" t="s">
        <v>382</v>
      </c>
      <c r="O5" s="1" t="s">
        <v>33</v>
      </c>
      <c r="P5" s="1" t="s">
        <v>180</v>
      </c>
      <c r="S5" s="1">
        <v>1.96759259259216E-4</v>
      </c>
      <c r="T5" s="1">
        <v>9.7222222222226318E-4</v>
      </c>
      <c r="U5" s="1">
        <v>1.6435185185185164E-3</v>
      </c>
      <c r="V5" s="1">
        <v>3.4722222222222099E-3</v>
      </c>
      <c r="W5" s="1">
        <v>1.7129629629629717E-3</v>
      </c>
      <c r="X5" s="1">
        <v>9.5370370370370106E-3</v>
      </c>
      <c r="Y5" s="1">
        <v>1.2835648148148193E-2</v>
      </c>
      <c r="Z5" s="1">
        <v>1.4583333333333393E-2</v>
      </c>
    </row>
    <row r="6" spans="1:26" x14ac:dyDescent="0.25">
      <c r="A6">
        <v>2</v>
      </c>
      <c r="B6" t="s">
        <v>440</v>
      </c>
      <c r="C6" t="s">
        <v>441</v>
      </c>
      <c r="D6">
        <v>2016</v>
      </c>
      <c r="E6" s="1">
        <v>0.64802083333333338</v>
      </c>
      <c r="F6" s="1">
        <v>0.64815972222222218</v>
      </c>
      <c r="G6" s="1">
        <v>0.64937500000000004</v>
      </c>
      <c r="H6" s="1">
        <v>0.65364583333333337</v>
      </c>
      <c r="I6" s="1">
        <v>0.65016203703703701</v>
      </c>
      <c r="J6" s="1">
        <v>0.65837962962962959</v>
      </c>
      <c r="K6" s="1">
        <v>0.66168981481481481</v>
      </c>
      <c r="L6" s="1">
        <v>0.66226851851851853</v>
      </c>
      <c r="M6" s="1">
        <v>0.66886574074074079</v>
      </c>
      <c r="N6" s="1" t="s">
        <v>442</v>
      </c>
      <c r="O6" s="1" t="s">
        <v>34</v>
      </c>
      <c r="P6" s="1" t="s">
        <v>180</v>
      </c>
      <c r="S6" s="1">
        <v>1.3888888888879958E-4</v>
      </c>
      <c r="T6" s="1">
        <v>1.2152777777778567E-3</v>
      </c>
      <c r="U6" s="1">
        <v>7.8703703703697503E-4</v>
      </c>
      <c r="V6" s="1">
        <v>4.2708333333333348E-3</v>
      </c>
      <c r="W6" s="1">
        <v>4.7337962962962221E-3</v>
      </c>
      <c r="X6" s="1">
        <v>1.1527777777777803E-2</v>
      </c>
      <c r="Y6" s="1">
        <v>1.2893518518518499E-2</v>
      </c>
      <c r="Z6" s="1">
        <v>2.0844907407407409E-2</v>
      </c>
    </row>
    <row r="7" spans="1:26" x14ac:dyDescent="0.25">
      <c r="A7">
        <v>3</v>
      </c>
      <c r="B7" t="s">
        <v>440</v>
      </c>
      <c r="C7" t="s">
        <v>463</v>
      </c>
      <c r="D7">
        <v>2018</v>
      </c>
      <c r="E7" s="1">
        <v>0.57417824074074075</v>
      </c>
      <c r="F7" s="1">
        <v>0.57434027777777774</v>
      </c>
      <c r="G7" s="1">
        <v>0.57562500000000005</v>
      </c>
      <c r="H7" s="1">
        <v>0.57751157407407405</v>
      </c>
      <c r="I7" s="1">
        <v>0.57609953703703709</v>
      </c>
      <c r="J7" s="1">
        <v>0.58010416666666664</v>
      </c>
      <c r="K7" s="1">
        <v>0.58190972222222226</v>
      </c>
      <c r="L7" s="1">
        <v>0.58225694444444442</v>
      </c>
      <c r="M7" s="1">
        <v>0.58851851851851855</v>
      </c>
      <c r="N7" s="1" t="s">
        <v>464</v>
      </c>
      <c r="O7" s="1" t="s">
        <v>34</v>
      </c>
      <c r="P7" s="1" t="s">
        <v>180</v>
      </c>
      <c r="S7" s="1">
        <v>1.6203703703698835E-4</v>
      </c>
      <c r="T7" s="1">
        <v>1.284722222222312E-3</v>
      </c>
      <c r="U7" s="1">
        <v>4.745370370370372E-4</v>
      </c>
      <c r="V7" s="1">
        <v>1.8865740740739989E-3</v>
      </c>
      <c r="W7" s="1">
        <v>2.5925925925925908E-3</v>
      </c>
      <c r="X7" s="1">
        <v>5.8101851851851682E-3</v>
      </c>
      <c r="Y7" s="1">
        <v>6.6319444444443709E-3</v>
      </c>
      <c r="Z7" s="1">
        <v>1.4340277777777799E-2</v>
      </c>
    </row>
    <row r="8" spans="1:26" x14ac:dyDescent="0.25">
      <c r="A8">
        <v>1</v>
      </c>
      <c r="B8" t="s">
        <v>440</v>
      </c>
      <c r="C8" t="s">
        <v>441</v>
      </c>
      <c r="D8">
        <v>2016</v>
      </c>
      <c r="E8" s="1">
        <v>0.61967592592592591</v>
      </c>
      <c r="F8" s="1">
        <v>0.61997685185185181</v>
      </c>
      <c r="G8" s="1">
        <v>0.62435185185185182</v>
      </c>
      <c r="H8" s="1">
        <v>0.63127314814814817</v>
      </c>
      <c r="I8" s="1">
        <v>0.62556712962962968</v>
      </c>
      <c r="J8" s="1">
        <v>0.63392361111111106</v>
      </c>
      <c r="K8" s="1">
        <v>0.64847222222222223</v>
      </c>
      <c r="L8" s="1">
        <v>0.64875000000000005</v>
      </c>
      <c r="M8" s="1">
        <v>0.65298611111111116</v>
      </c>
      <c r="N8" s="1" t="s">
        <v>468</v>
      </c>
      <c r="O8" s="1" t="s">
        <v>34</v>
      </c>
      <c r="P8" s="1" t="s">
        <v>180</v>
      </c>
      <c r="S8" s="1">
        <v>3.0092592592589895E-4</v>
      </c>
      <c r="T8" s="1">
        <v>4.3750000000000178E-3</v>
      </c>
      <c r="U8" s="1">
        <v>1.2152777777778567E-3</v>
      </c>
      <c r="V8" s="1">
        <v>6.921296296296342E-3</v>
      </c>
      <c r="W8" s="1">
        <v>2.6504629629628962E-3</v>
      </c>
      <c r="X8" s="1">
        <v>2.2905092592592546E-2</v>
      </c>
      <c r="Y8" s="1">
        <v>2.4398148148148224E-2</v>
      </c>
      <c r="Z8" s="1">
        <v>3.3310185185185248E-2</v>
      </c>
    </row>
    <row r="9" spans="1:26" x14ac:dyDescent="0.25">
      <c r="A9">
        <v>1</v>
      </c>
      <c r="B9" t="s">
        <v>440</v>
      </c>
      <c r="C9" t="s">
        <v>473</v>
      </c>
      <c r="D9">
        <v>2020</v>
      </c>
      <c r="E9" s="1">
        <v>0.70424768518518521</v>
      </c>
      <c r="F9" s="1">
        <v>0.70475694444444448</v>
      </c>
      <c r="G9" s="1">
        <v>0.70524305555555555</v>
      </c>
      <c r="H9" s="1">
        <v>0.70679398148148154</v>
      </c>
      <c r="I9" s="1">
        <v>0.70584490740740746</v>
      </c>
      <c r="J9" s="1">
        <v>0.70981481481481479</v>
      </c>
      <c r="K9" s="1">
        <v>0.71258101851851852</v>
      </c>
      <c r="L9" s="1">
        <v>0.71333333333333337</v>
      </c>
      <c r="M9" s="1">
        <v>0.71412037037037035</v>
      </c>
      <c r="N9" s="1" t="s">
        <v>343</v>
      </c>
      <c r="O9" s="1" t="s">
        <v>33</v>
      </c>
      <c r="P9" s="1" t="s">
        <v>180</v>
      </c>
      <c r="S9" s="1">
        <v>5.0925925925926485E-4</v>
      </c>
      <c r="T9" s="1">
        <v>4.8611111111107608E-4</v>
      </c>
      <c r="U9" s="1">
        <v>6.0185185185190893E-4</v>
      </c>
      <c r="V9" s="1">
        <v>1.5509259259259833E-3</v>
      </c>
      <c r="W9" s="1">
        <v>3.0208333333332504E-3</v>
      </c>
      <c r="X9" s="1">
        <v>6.7361111111110539E-3</v>
      </c>
      <c r="Y9" s="1">
        <v>8.0902777777778212E-3</v>
      </c>
      <c r="Z9" s="1">
        <v>9.8726851851851372E-3</v>
      </c>
    </row>
    <row r="10" spans="1:26" x14ac:dyDescent="0.25">
      <c r="A10">
        <v>1</v>
      </c>
      <c r="B10" t="s">
        <v>440</v>
      </c>
      <c r="C10" t="s">
        <v>483</v>
      </c>
      <c r="D10">
        <v>2021</v>
      </c>
      <c r="E10" s="1">
        <v>0.40790509259259261</v>
      </c>
      <c r="F10" s="1">
        <v>0.40810185185185183</v>
      </c>
      <c r="G10" s="1">
        <v>0.40909722222222222</v>
      </c>
      <c r="H10" s="1">
        <v>0.41087962962962965</v>
      </c>
      <c r="I10" s="1">
        <v>0.40982638888888889</v>
      </c>
      <c r="J10" s="1">
        <v>0.41493055555555558</v>
      </c>
      <c r="K10" s="1">
        <v>0.41511574074074076</v>
      </c>
      <c r="L10" s="1">
        <v>0.41559027777777779</v>
      </c>
      <c r="M10" s="1">
        <v>0.41672453703703705</v>
      </c>
      <c r="N10" s="1" t="s">
        <v>431</v>
      </c>
      <c r="O10" s="1" t="s">
        <v>34</v>
      </c>
      <c r="P10" s="1" t="s">
        <v>180</v>
      </c>
      <c r="S10" s="1">
        <v>1.96759259259216E-4</v>
      </c>
      <c r="T10" s="1">
        <v>9.9537037037039644E-4</v>
      </c>
      <c r="U10" s="1">
        <v>7.2916666666666963E-4</v>
      </c>
      <c r="V10" s="1">
        <v>1.782407407407427E-3</v>
      </c>
      <c r="W10" s="1">
        <v>4.05092592592593E-3</v>
      </c>
      <c r="X10" s="1">
        <v>5.2893518518518645E-3</v>
      </c>
      <c r="Y10" s="1">
        <v>6.4930555555555713E-3</v>
      </c>
      <c r="Z10" s="1">
        <v>8.8194444444444353E-3</v>
      </c>
    </row>
    <row r="11" spans="1:26" x14ac:dyDescent="0.25">
      <c r="A11">
        <v>1</v>
      </c>
      <c r="B11" t="s">
        <v>440</v>
      </c>
      <c r="C11" t="s">
        <v>441</v>
      </c>
      <c r="D11">
        <v>2023</v>
      </c>
      <c r="E11" s="1">
        <v>0.51771990740740736</v>
      </c>
      <c r="F11" s="1">
        <v>0.51790509259259254</v>
      </c>
      <c r="G11" s="1">
        <v>0.5191203703703704</v>
      </c>
      <c r="H11" s="1">
        <v>0.52174768518518522</v>
      </c>
      <c r="I11" s="1">
        <v>0.51993055555555556</v>
      </c>
      <c r="J11" s="1">
        <v>0.52563657407407405</v>
      </c>
      <c r="K11" s="1">
        <v>0.54972222222222222</v>
      </c>
      <c r="L11" s="1">
        <v>0.55162037037037037</v>
      </c>
      <c r="M11" s="1">
        <v>0.5554513888888889</v>
      </c>
      <c r="N11" s="1" t="s">
        <v>521</v>
      </c>
      <c r="O11" s="1" t="s">
        <v>34</v>
      </c>
      <c r="P11" s="1" t="s">
        <v>180</v>
      </c>
      <c r="S11" s="1">
        <v>1.8518518518517713E-4</v>
      </c>
      <c r="T11" s="1">
        <v>1.2152777777778567E-3</v>
      </c>
      <c r="U11" s="1">
        <v>8.101851851851638E-4</v>
      </c>
      <c r="V11" s="1">
        <v>2.6273148148148184E-3</v>
      </c>
      <c r="W11" s="1">
        <v>3.8888888888888307E-3</v>
      </c>
      <c r="X11" s="1">
        <v>2.9791666666666661E-2</v>
      </c>
      <c r="Y11" s="1">
        <v>3.2499999999999973E-2</v>
      </c>
      <c r="Z11" s="1">
        <v>3.7731481481481532E-2</v>
      </c>
    </row>
    <row r="12" spans="1:26" x14ac:dyDescent="0.25">
      <c r="A12">
        <v>2</v>
      </c>
      <c r="B12" t="s">
        <v>13</v>
      </c>
      <c r="C12" t="s">
        <v>527</v>
      </c>
      <c r="D12">
        <v>2022</v>
      </c>
      <c r="E12" s="1">
        <v>0.5901967592592593</v>
      </c>
      <c r="F12" s="1">
        <v>0.59057870370370369</v>
      </c>
      <c r="G12" s="1">
        <v>0.5913194444444444</v>
      </c>
      <c r="H12" s="1">
        <v>0.5957986111111111</v>
      </c>
      <c r="I12" s="1">
        <v>0.5923032407407407</v>
      </c>
      <c r="J12" s="1">
        <v>0.59996527777777775</v>
      </c>
      <c r="K12" s="1">
        <v>0.60539351851851853</v>
      </c>
      <c r="L12" s="1">
        <v>0.60584490740740737</v>
      </c>
      <c r="M12" s="1">
        <v>0.60811342592592588</v>
      </c>
      <c r="N12" s="1" t="s">
        <v>333</v>
      </c>
      <c r="O12" s="1" t="s">
        <v>34</v>
      </c>
      <c r="P12" s="1" t="s">
        <v>180</v>
      </c>
      <c r="S12" s="1">
        <v>3.8194444444439313E-4</v>
      </c>
      <c r="T12" s="1">
        <v>7.407407407407085E-4</v>
      </c>
      <c r="U12" s="1">
        <v>9.8379629629630205E-4</v>
      </c>
      <c r="V12" s="1">
        <v>4.4791666666667007E-3</v>
      </c>
      <c r="W12" s="1">
        <v>4.1666666666666519E-3</v>
      </c>
      <c r="X12" s="1">
        <v>1.3090277777777826E-2</v>
      </c>
      <c r="Y12" s="1">
        <v>1.4525462962962976E-2</v>
      </c>
      <c r="Z12" s="1">
        <v>1.7916666666666581E-2</v>
      </c>
    </row>
    <row r="13" spans="1:26" x14ac:dyDescent="0.25">
      <c r="A13">
        <v>1</v>
      </c>
      <c r="B13" t="s">
        <v>13</v>
      </c>
      <c r="C13" t="s">
        <v>404</v>
      </c>
      <c r="D13">
        <v>2018</v>
      </c>
      <c r="E13" s="1">
        <v>0.74768518518518523</v>
      </c>
      <c r="F13" s="1">
        <v>0.74777777777777776</v>
      </c>
      <c r="G13" s="1">
        <v>0.74814814814814812</v>
      </c>
      <c r="H13" s="1">
        <v>0.75012731481481476</v>
      </c>
      <c r="I13" s="1">
        <v>0.74866898148148153</v>
      </c>
      <c r="J13" s="1">
        <v>0.75150462962962961</v>
      </c>
      <c r="K13" s="1">
        <v>0.75383101851851853</v>
      </c>
      <c r="L13" s="1">
        <v>0.75532407407407409</v>
      </c>
      <c r="M13" s="1">
        <v>0.75649305555555557</v>
      </c>
      <c r="N13" s="1" t="s">
        <v>409</v>
      </c>
      <c r="O13" s="1" t="s">
        <v>33</v>
      </c>
      <c r="P13" s="1" t="s">
        <v>180</v>
      </c>
      <c r="S13" s="1">
        <v>9.2592592592533052E-5</v>
      </c>
      <c r="T13" s="1">
        <v>3.7037037037035425E-4</v>
      </c>
      <c r="U13" s="1">
        <v>5.2083333333341475E-4</v>
      </c>
      <c r="V13" s="1">
        <v>1.979166666666643E-3</v>
      </c>
      <c r="W13" s="1">
        <v>1.3773148148148451E-3</v>
      </c>
      <c r="X13" s="1">
        <v>5.1620370370369928E-3</v>
      </c>
      <c r="Y13" s="1">
        <v>7.1759259259259744E-3</v>
      </c>
      <c r="Z13" s="1">
        <v>8.8078703703703409E-3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78E5-9D87-414B-B0FB-40C37BEDCD01}">
  <dimension ref="A1:Z49"/>
  <sheetViews>
    <sheetView workbookViewId="0">
      <selection sqref="A1:Z58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43</v>
      </c>
      <c r="N1" s="1" t="s">
        <v>44</v>
      </c>
      <c r="O1" s="1" t="s">
        <v>45</v>
      </c>
      <c r="P1" s="1" t="s">
        <v>46</v>
      </c>
      <c r="S1" s="1" t="s">
        <v>539</v>
      </c>
      <c r="T1" s="1" t="s">
        <v>540</v>
      </c>
      <c r="U1" s="1" t="s">
        <v>538</v>
      </c>
      <c r="V1" s="1" t="s">
        <v>541</v>
      </c>
      <c r="W1" s="1" t="s">
        <v>544</v>
      </c>
      <c r="X1" s="1" t="s">
        <v>542</v>
      </c>
      <c r="Y1" s="1" t="s">
        <v>545</v>
      </c>
      <c r="Z1" s="1" t="s">
        <v>543</v>
      </c>
    </row>
    <row r="2" spans="1:26" x14ac:dyDescent="0.25">
      <c r="A2">
        <v>1</v>
      </c>
      <c r="B2" t="s">
        <v>12</v>
      </c>
      <c r="C2" t="s">
        <v>26</v>
      </c>
      <c r="D2">
        <v>2024</v>
      </c>
      <c r="E2" s="1" t="s">
        <v>159</v>
      </c>
      <c r="F2" s="1" t="s">
        <v>160</v>
      </c>
      <c r="G2" s="1" t="s">
        <v>161</v>
      </c>
      <c r="H2" s="1" t="s">
        <v>162</v>
      </c>
      <c r="I2" s="1" t="s">
        <v>163</v>
      </c>
      <c r="J2" s="1" t="s">
        <v>164</v>
      </c>
      <c r="K2" s="1" t="s">
        <v>165</v>
      </c>
      <c r="L2" s="1" t="s">
        <v>166</v>
      </c>
      <c r="M2" s="1" t="s">
        <v>167</v>
      </c>
      <c r="N2" s="1" t="s">
        <v>168</v>
      </c>
      <c r="O2" s="1" t="s">
        <v>34</v>
      </c>
      <c r="P2" s="1" t="s">
        <v>169</v>
      </c>
      <c r="S2" s="1">
        <v>1.7361111111113825E-4</v>
      </c>
      <c r="T2" s="1">
        <v>6.9444444444444198E-3</v>
      </c>
      <c r="U2" s="1">
        <v>8.4490740740739145E-4</v>
      </c>
      <c r="V2" s="1">
        <v>2.0023148148148318E-3</v>
      </c>
      <c r="W2" s="1">
        <v>1.5740740740740611E-3</v>
      </c>
      <c r="X2" s="1">
        <v>5.5555555555555358E-3</v>
      </c>
      <c r="Y2" s="1">
        <v>9.6643518518518823E-3</v>
      </c>
      <c r="Z2" s="1">
        <v>1.8067129629629641E-2</v>
      </c>
    </row>
    <row r="3" spans="1:26" x14ac:dyDescent="0.25">
      <c r="A3">
        <v>1</v>
      </c>
      <c r="B3" t="s">
        <v>14</v>
      </c>
      <c r="C3" t="s">
        <v>28</v>
      </c>
      <c r="D3">
        <v>2013</v>
      </c>
      <c r="E3" s="1" t="s">
        <v>181</v>
      </c>
      <c r="F3" s="1" t="s">
        <v>182</v>
      </c>
      <c r="G3" s="1" t="s">
        <v>183</v>
      </c>
      <c r="H3" s="1" t="s">
        <v>184</v>
      </c>
      <c r="I3" s="1" t="s">
        <v>185</v>
      </c>
      <c r="J3" s="1" t="s">
        <v>186</v>
      </c>
      <c r="K3" s="1" t="s">
        <v>187</v>
      </c>
      <c r="L3" s="1" t="s">
        <v>188</v>
      </c>
      <c r="M3" s="1" t="s">
        <v>189</v>
      </c>
      <c r="N3" s="1" t="s">
        <v>54</v>
      </c>
      <c r="O3" s="1" t="s">
        <v>33</v>
      </c>
      <c r="P3" s="1" t="s">
        <v>169</v>
      </c>
      <c r="S3" s="1">
        <v>6.3657407407413658E-4</v>
      </c>
      <c r="T3" s="1">
        <v>3.0787037037036669E-3</v>
      </c>
      <c r="U3" s="1">
        <v>9.3750000000003553E-4</v>
      </c>
      <c r="V3" s="1">
        <v>2.3032407407407307E-3</v>
      </c>
      <c r="W3" s="1">
        <v>1.3657407407408062E-3</v>
      </c>
      <c r="X3" s="1">
        <v>5.5555555555555358E-3</v>
      </c>
      <c r="Y3" s="1">
        <v>6.6203703703704431E-3</v>
      </c>
      <c r="Z3" s="1">
        <v>1.2418981481481572E-2</v>
      </c>
    </row>
    <row r="4" spans="1:26" x14ac:dyDescent="0.25">
      <c r="A4">
        <v>1</v>
      </c>
      <c r="B4" t="s">
        <v>15</v>
      </c>
      <c r="C4" t="s">
        <v>29</v>
      </c>
      <c r="D4">
        <v>2009</v>
      </c>
      <c r="E4" s="1" t="s">
        <v>190</v>
      </c>
      <c r="F4" s="1" t="s">
        <v>191</v>
      </c>
      <c r="G4" s="1" t="s">
        <v>192</v>
      </c>
      <c r="H4" s="1" t="s">
        <v>193</v>
      </c>
      <c r="I4" s="1" t="s">
        <v>194</v>
      </c>
      <c r="J4" s="1" t="s">
        <v>195</v>
      </c>
      <c r="K4" s="1" t="s">
        <v>196</v>
      </c>
      <c r="L4" s="1" t="s">
        <v>197</v>
      </c>
      <c r="M4" s="1" t="s">
        <v>198</v>
      </c>
      <c r="N4" s="1" t="s">
        <v>199</v>
      </c>
      <c r="O4" s="1" t="s">
        <v>33</v>
      </c>
      <c r="P4" s="1" t="s">
        <v>169</v>
      </c>
      <c r="S4" s="1">
        <v>4.3981481481480955E-4</v>
      </c>
      <c r="T4" s="1">
        <v>3.4375000000000933E-3</v>
      </c>
      <c r="U4" s="1">
        <v>7.5231481481474738E-4</v>
      </c>
      <c r="V4" s="1">
        <v>3.76157407407407E-3</v>
      </c>
      <c r="W4" s="1">
        <v>3.1249999999999334E-3</v>
      </c>
      <c r="X4" s="1">
        <v>8.5300925925926308E-3</v>
      </c>
      <c r="Y4" s="1">
        <v>1.0381944444444402E-2</v>
      </c>
      <c r="Z4" s="1">
        <v>1.5833333333333366E-2</v>
      </c>
    </row>
    <row r="5" spans="1:26" x14ac:dyDescent="0.25">
      <c r="A5">
        <v>1</v>
      </c>
      <c r="B5" t="s">
        <v>14</v>
      </c>
      <c r="C5" t="s">
        <v>32</v>
      </c>
      <c r="D5">
        <v>2011</v>
      </c>
      <c r="E5" s="1" t="s">
        <v>219</v>
      </c>
      <c r="F5" s="1" t="s">
        <v>220</v>
      </c>
      <c r="G5" s="1" t="s">
        <v>221</v>
      </c>
      <c r="H5" s="1" t="s">
        <v>222</v>
      </c>
      <c r="I5" s="1" t="s">
        <v>223</v>
      </c>
      <c r="J5" s="1" t="s">
        <v>224</v>
      </c>
      <c r="K5" s="1" t="s">
        <v>225</v>
      </c>
      <c r="L5" s="1" t="s">
        <v>226</v>
      </c>
      <c r="M5" s="1" t="s">
        <v>227</v>
      </c>
      <c r="N5" s="1" t="s">
        <v>228</v>
      </c>
      <c r="O5" s="1" t="s">
        <v>34</v>
      </c>
      <c r="P5" s="1" t="s">
        <v>169</v>
      </c>
      <c r="S5" s="1">
        <v>2.3148148148144365E-4</v>
      </c>
      <c r="T5" s="1">
        <v>6.9444444444444198E-4</v>
      </c>
      <c r="U5" s="1">
        <v>1.0532407407407574E-3</v>
      </c>
      <c r="V5" s="1">
        <v>2.6157407407407796E-3</v>
      </c>
      <c r="W5" s="1">
        <v>2.4537037037036802E-3</v>
      </c>
      <c r="X5" s="1">
        <v>7.0833333333333304E-3</v>
      </c>
      <c r="Y5" s="1">
        <v>8.3796296296296813E-3</v>
      </c>
      <c r="Z5" s="1">
        <v>1.0682870370370412E-2</v>
      </c>
    </row>
    <row r="6" spans="1:26" x14ac:dyDescent="0.25">
      <c r="A6">
        <v>1</v>
      </c>
      <c r="B6" t="s">
        <v>14</v>
      </c>
      <c r="C6" t="s">
        <v>282</v>
      </c>
      <c r="D6">
        <v>2009</v>
      </c>
      <c r="E6" s="1" t="s">
        <v>283</v>
      </c>
      <c r="F6" s="1" t="s">
        <v>284</v>
      </c>
      <c r="G6" s="1" t="s">
        <v>285</v>
      </c>
      <c r="H6" s="1" t="s">
        <v>286</v>
      </c>
      <c r="I6" s="1" t="s">
        <v>287</v>
      </c>
      <c r="J6" s="1" t="s">
        <v>288</v>
      </c>
      <c r="K6" s="1">
        <v>0.57395833333333335</v>
      </c>
      <c r="L6" s="1" t="s">
        <v>289</v>
      </c>
      <c r="M6" s="1" t="s">
        <v>290</v>
      </c>
      <c r="N6" s="1" t="s">
        <v>291</v>
      </c>
      <c r="O6" s="1" t="s">
        <v>33</v>
      </c>
      <c r="P6" s="1" t="s">
        <v>169</v>
      </c>
      <c r="S6" s="1">
        <v>2.777777777778212E-4</v>
      </c>
      <c r="T6" s="1">
        <v>4.8611111111107608E-4</v>
      </c>
      <c r="U6" s="1">
        <v>1.1458333333334014E-3</v>
      </c>
      <c r="V6" s="1">
        <v>4.5023148148148895E-3</v>
      </c>
      <c r="W6" s="1">
        <v>1.7939814814814659E-3</v>
      </c>
      <c r="X6" s="1">
        <v>1.3078703703703676E-2</v>
      </c>
      <c r="Y6" s="1">
        <v>1.5787037037037099E-2</v>
      </c>
      <c r="Z6" s="1">
        <v>1.8136574074074097E-2</v>
      </c>
    </row>
    <row r="7" spans="1:26" x14ac:dyDescent="0.25">
      <c r="A7">
        <v>2</v>
      </c>
      <c r="B7" t="s">
        <v>14</v>
      </c>
      <c r="C7" t="s">
        <v>292</v>
      </c>
      <c r="D7">
        <v>2020</v>
      </c>
      <c r="E7" s="1" t="s">
        <v>293</v>
      </c>
      <c r="F7" s="1" t="s">
        <v>294</v>
      </c>
      <c r="G7" s="1" t="s">
        <v>295</v>
      </c>
      <c r="H7" s="1" t="s">
        <v>296</v>
      </c>
      <c r="I7" s="1" t="s">
        <v>297</v>
      </c>
      <c r="J7" s="1" t="s">
        <v>298</v>
      </c>
      <c r="K7" s="1" t="s">
        <v>299</v>
      </c>
      <c r="L7" s="1" t="s">
        <v>300</v>
      </c>
      <c r="M7" s="1" t="s">
        <v>301</v>
      </c>
      <c r="N7" s="1" t="s">
        <v>302</v>
      </c>
      <c r="O7" s="1" t="s">
        <v>34</v>
      </c>
      <c r="P7" s="1" t="s">
        <v>169</v>
      </c>
      <c r="S7" s="1">
        <v>1.2152777777778567E-3</v>
      </c>
      <c r="T7" s="1">
        <v>5.6712962962957025E-4</v>
      </c>
      <c r="U7" s="1">
        <v>1.4930555555555669E-3</v>
      </c>
      <c r="V7" s="1">
        <v>5.0115740740741543E-3</v>
      </c>
      <c r="W7" s="1">
        <v>4.2708333333333348E-3</v>
      </c>
      <c r="X7" s="1">
        <v>1.489583333333333E-2</v>
      </c>
      <c r="Y7" s="1">
        <v>1.722222222222225E-2</v>
      </c>
      <c r="Z7" s="1">
        <v>2.0289351851851878E-2</v>
      </c>
    </row>
    <row r="8" spans="1:26" x14ac:dyDescent="0.25">
      <c r="A8">
        <v>1</v>
      </c>
      <c r="B8" t="s">
        <v>12</v>
      </c>
      <c r="C8" t="s">
        <v>334</v>
      </c>
      <c r="D8">
        <v>2007</v>
      </c>
      <c r="E8" s="1">
        <v>0.64666666666666661</v>
      </c>
      <c r="F8" s="1">
        <v>0.6469907407407407</v>
      </c>
      <c r="G8" s="1">
        <v>0.64803240740740742</v>
      </c>
      <c r="H8" s="1">
        <v>0.65010416666666671</v>
      </c>
      <c r="I8" s="1">
        <v>0.64913194444444444</v>
      </c>
      <c r="J8" s="1">
        <v>0.6516319444444445</v>
      </c>
      <c r="K8" s="1">
        <v>0.65540509259259261</v>
      </c>
      <c r="L8" s="1">
        <v>0.65649305555555559</v>
      </c>
      <c r="M8" s="1">
        <v>0.65777777777777779</v>
      </c>
      <c r="N8" s="1" t="s">
        <v>54</v>
      </c>
      <c r="O8" s="1" t="s">
        <v>34</v>
      </c>
      <c r="P8" s="1" t="s">
        <v>169</v>
      </c>
      <c r="S8" s="1">
        <v>3.2407407407408773E-4</v>
      </c>
      <c r="T8" s="1">
        <v>1.0416666666667185E-3</v>
      </c>
      <c r="U8" s="1">
        <v>1.0995370370370239E-3</v>
      </c>
      <c r="V8" s="1">
        <v>2.0717592592592871E-3</v>
      </c>
      <c r="W8" s="1">
        <v>1.5277777777777946E-3</v>
      </c>
      <c r="X8" s="1">
        <v>6.2731481481481666E-3</v>
      </c>
      <c r="Y8" s="1">
        <v>8.4606481481481755E-3</v>
      </c>
      <c r="Z8" s="1">
        <v>1.1111111111111183E-2</v>
      </c>
    </row>
    <row r="9" spans="1:26" x14ac:dyDescent="0.25">
      <c r="A9">
        <v>2</v>
      </c>
      <c r="B9" t="s">
        <v>14</v>
      </c>
      <c r="C9" t="s">
        <v>337</v>
      </c>
      <c r="D9">
        <v>2021</v>
      </c>
      <c r="E9" s="1">
        <v>0.6746064814814815</v>
      </c>
      <c r="F9" s="1">
        <v>0.67472222222222222</v>
      </c>
      <c r="G9" s="1">
        <v>0.67546296296296293</v>
      </c>
      <c r="H9" s="1">
        <v>0.67864583333333328</v>
      </c>
      <c r="I9" s="1">
        <v>0.67622685185185183</v>
      </c>
      <c r="J9" s="1">
        <v>0.68074074074074076</v>
      </c>
      <c r="K9" s="1">
        <v>0.6844675925925926</v>
      </c>
      <c r="L9" s="1">
        <v>0.68464120370370374</v>
      </c>
      <c r="M9" s="1">
        <v>0.68665509259259261</v>
      </c>
      <c r="N9" s="1" t="s">
        <v>338</v>
      </c>
      <c r="O9" s="1" t="s">
        <v>34</v>
      </c>
      <c r="P9" s="1" t="s">
        <v>169</v>
      </c>
      <c r="S9" s="1">
        <v>1.1574074074072183E-4</v>
      </c>
      <c r="T9" s="1">
        <v>7.407407407407085E-4</v>
      </c>
      <c r="U9" s="1">
        <v>7.6388888888889728E-4</v>
      </c>
      <c r="V9" s="1">
        <v>3.1828703703703498E-3</v>
      </c>
      <c r="W9" s="1">
        <v>2.0949074074074758E-3</v>
      </c>
      <c r="X9" s="1">
        <v>8.2407407407407707E-3</v>
      </c>
      <c r="Y9" s="1">
        <v>9.1782407407408062E-3</v>
      </c>
      <c r="Z9" s="1">
        <v>1.2048611111111107E-2</v>
      </c>
    </row>
    <row r="10" spans="1:26" x14ac:dyDescent="0.25">
      <c r="A10">
        <v>4</v>
      </c>
      <c r="B10" t="s">
        <v>15</v>
      </c>
      <c r="C10" t="s">
        <v>339</v>
      </c>
      <c r="D10">
        <v>2011</v>
      </c>
      <c r="E10" s="1">
        <v>0.6783217592592593</v>
      </c>
      <c r="F10" s="1">
        <v>0.67853009259259256</v>
      </c>
      <c r="G10" s="1">
        <v>0.67974537037037042</v>
      </c>
      <c r="H10" s="1">
        <v>0.68202546296296296</v>
      </c>
      <c r="I10" s="1">
        <v>0.68049768518518516</v>
      </c>
      <c r="J10" s="1">
        <v>0.68434027777777773</v>
      </c>
      <c r="K10" s="1">
        <v>0.68805555555555553</v>
      </c>
      <c r="L10" s="1">
        <v>0.71226851851851847</v>
      </c>
      <c r="M10" s="1">
        <v>0.7167824074074074</v>
      </c>
      <c r="N10" s="1" t="s">
        <v>340</v>
      </c>
      <c r="O10" s="1" t="s">
        <v>34</v>
      </c>
      <c r="P10" s="1" t="s">
        <v>169</v>
      </c>
      <c r="S10" s="1">
        <v>2.0833333333325488E-4</v>
      </c>
      <c r="T10" s="1">
        <v>1.2152777777778567E-3</v>
      </c>
      <c r="U10" s="1">
        <v>7.5231481481474738E-4</v>
      </c>
      <c r="V10" s="1">
        <v>2.2800925925925419E-3</v>
      </c>
      <c r="W10" s="1">
        <v>2.3148148148147696E-3</v>
      </c>
      <c r="X10" s="1">
        <v>7.5578703703703676E-3</v>
      </c>
      <c r="Y10" s="1">
        <v>3.2523148148148051E-2</v>
      </c>
      <c r="Z10" s="1">
        <v>3.8460648148148091E-2</v>
      </c>
    </row>
    <row r="11" spans="1:26" x14ac:dyDescent="0.25">
      <c r="A11">
        <v>3</v>
      </c>
      <c r="B11" t="s">
        <v>346</v>
      </c>
      <c r="C11" t="s">
        <v>347</v>
      </c>
      <c r="D11">
        <v>2015</v>
      </c>
      <c r="E11" s="1">
        <v>0.73273148148148148</v>
      </c>
      <c r="F11" s="1">
        <v>0.73302083333333334</v>
      </c>
      <c r="G11" s="1">
        <v>0.7338541666666667</v>
      </c>
      <c r="H11" s="1">
        <v>0.73731481481481487</v>
      </c>
      <c r="I11" s="1">
        <v>0.73473379629629632</v>
      </c>
      <c r="J11" s="1">
        <v>0.74049768518518522</v>
      </c>
      <c r="K11" s="1">
        <v>0.74496527777777777</v>
      </c>
      <c r="L11" s="1">
        <v>0.74548611111111107</v>
      </c>
      <c r="M11" s="1">
        <v>0.74675925925925923</v>
      </c>
      <c r="N11" s="1" t="s">
        <v>54</v>
      </c>
      <c r="O11" s="1" t="s">
        <v>33</v>
      </c>
      <c r="P11" s="1" t="s">
        <v>169</v>
      </c>
      <c r="S11" s="1">
        <v>2.8935185185186008E-4</v>
      </c>
      <c r="T11" s="1">
        <v>8.3333333333335258E-4</v>
      </c>
      <c r="U11" s="1">
        <v>8.796296296296191E-4</v>
      </c>
      <c r="V11" s="1">
        <v>3.460648148148171E-3</v>
      </c>
      <c r="W11" s="1">
        <v>3.1828703703703498E-3</v>
      </c>
      <c r="X11" s="1">
        <v>1.0231481481481453E-2</v>
      </c>
      <c r="Y11" s="1">
        <v>1.1631944444444375E-2</v>
      </c>
      <c r="Z11" s="1">
        <v>1.402777777777775E-2</v>
      </c>
    </row>
    <row r="12" spans="1:26" x14ac:dyDescent="0.25">
      <c r="A12">
        <v>1</v>
      </c>
      <c r="B12" t="s">
        <v>14</v>
      </c>
      <c r="C12" t="s">
        <v>349</v>
      </c>
      <c r="D12">
        <v>2023</v>
      </c>
      <c r="E12" s="1">
        <v>0.73503472222222221</v>
      </c>
      <c r="F12" s="1">
        <v>0.73542824074074076</v>
      </c>
      <c r="G12" s="1">
        <v>0.73993055555555554</v>
      </c>
      <c r="H12" s="1">
        <v>0.74796296296296294</v>
      </c>
      <c r="I12" s="1">
        <v>0.74107638888888894</v>
      </c>
      <c r="J12" s="1">
        <v>0.74962962962962965</v>
      </c>
      <c r="K12" s="1">
        <v>0.77094907407407409</v>
      </c>
      <c r="L12" s="1">
        <v>0.77120370370370372</v>
      </c>
      <c r="M12" s="1">
        <v>0.77195601851851847</v>
      </c>
      <c r="N12" s="1" t="s">
        <v>350</v>
      </c>
      <c r="O12" s="1" t="s">
        <v>34</v>
      </c>
      <c r="P12" s="1" t="s">
        <v>169</v>
      </c>
      <c r="S12" s="1">
        <v>3.9351851851854303E-4</v>
      </c>
      <c r="T12" s="1">
        <v>4.5023148148147785E-3</v>
      </c>
      <c r="U12" s="1">
        <v>1.1458333333334014E-3</v>
      </c>
      <c r="V12" s="1">
        <v>8.0324074074074048E-3</v>
      </c>
      <c r="W12" s="1">
        <v>1.6666666666667052E-3</v>
      </c>
      <c r="X12" s="1">
        <v>2.9872685185185155E-2</v>
      </c>
      <c r="Y12" s="1">
        <v>3.1273148148148189E-2</v>
      </c>
      <c r="Z12" s="1">
        <v>3.6921296296296258E-2</v>
      </c>
    </row>
    <row r="13" spans="1:26" x14ac:dyDescent="0.25">
      <c r="A13">
        <v>1</v>
      </c>
      <c r="B13" t="s">
        <v>357</v>
      </c>
      <c r="C13" t="s">
        <v>358</v>
      </c>
      <c r="D13">
        <v>2003</v>
      </c>
      <c r="E13" s="1">
        <v>0.56342592592592589</v>
      </c>
      <c r="F13" s="1">
        <v>0.56390046296296292</v>
      </c>
      <c r="G13" s="1">
        <v>0.57076388888888885</v>
      </c>
      <c r="H13" s="1">
        <v>0.57123842592592589</v>
      </c>
      <c r="I13" s="1">
        <v>0.57431712962962966</v>
      </c>
      <c r="J13" s="1">
        <v>0.57966435185185183</v>
      </c>
      <c r="K13" s="1">
        <v>0.58268518518518519</v>
      </c>
      <c r="L13" s="1">
        <v>0.58315972222222223</v>
      </c>
      <c r="M13" s="1">
        <v>0.58428240740740744</v>
      </c>
      <c r="N13" s="1" t="s">
        <v>54</v>
      </c>
      <c r="O13" s="1" t="s">
        <v>34</v>
      </c>
      <c r="P13" s="1" t="s">
        <v>169</v>
      </c>
      <c r="S13" s="1">
        <v>4.745370370370372E-4</v>
      </c>
      <c r="T13" s="1">
        <v>6.8634259259259256E-3</v>
      </c>
      <c r="U13" s="1">
        <v>3.5532407407408151E-3</v>
      </c>
      <c r="V13" s="1">
        <v>4.745370370370372E-4</v>
      </c>
      <c r="W13" s="1">
        <v>8.4259259259259478E-3</v>
      </c>
      <c r="X13" s="1">
        <v>8.3680555555555314E-3</v>
      </c>
      <c r="Y13" s="1">
        <v>1.2395833333333384E-2</v>
      </c>
      <c r="Z13" s="1">
        <v>2.0856481481481559E-2</v>
      </c>
    </row>
    <row r="14" spans="1:26" x14ac:dyDescent="0.25">
      <c r="A14">
        <v>1</v>
      </c>
      <c r="B14" t="s">
        <v>394</v>
      </c>
      <c r="C14" t="s">
        <v>395</v>
      </c>
      <c r="D14">
        <v>2012</v>
      </c>
      <c r="E14" s="1">
        <v>0.64862268518518518</v>
      </c>
      <c r="F14" s="1">
        <v>0.648900462962963</v>
      </c>
      <c r="G14" s="1">
        <v>0.64983796296296292</v>
      </c>
      <c r="H14" s="1">
        <v>0.65167824074074077</v>
      </c>
      <c r="I14" s="1">
        <v>0.6509490740740741</v>
      </c>
      <c r="J14" s="1">
        <v>0.65869212962962964</v>
      </c>
      <c r="K14" s="1">
        <v>0.66284722222222225</v>
      </c>
      <c r="L14" s="1">
        <v>0.66387731481481482</v>
      </c>
      <c r="M14" s="1">
        <v>0.66497685185185185</v>
      </c>
      <c r="N14" s="1" t="s">
        <v>396</v>
      </c>
      <c r="O14" s="1" t="s">
        <v>34</v>
      </c>
      <c r="P14" s="1" t="s">
        <v>169</v>
      </c>
      <c r="S14" s="1">
        <v>2.777777777778212E-4</v>
      </c>
      <c r="T14" s="1">
        <v>9.374999999999245E-4</v>
      </c>
      <c r="U14" s="1">
        <v>1.1111111111111738E-3</v>
      </c>
      <c r="V14" s="1">
        <v>1.8402777777778434E-3</v>
      </c>
      <c r="W14" s="1">
        <v>7.0138888888888751E-3</v>
      </c>
      <c r="X14" s="1">
        <v>1.1898148148148158E-2</v>
      </c>
      <c r="Y14" s="1">
        <v>1.40393518518519E-2</v>
      </c>
      <c r="Z14" s="1">
        <v>1.635416666666667E-2</v>
      </c>
    </row>
    <row r="15" spans="1:26" x14ac:dyDescent="0.25">
      <c r="A15">
        <v>2</v>
      </c>
      <c r="B15" t="s">
        <v>15</v>
      </c>
      <c r="C15" t="s">
        <v>29</v>
      </c>
      <c r="D15">
        <v>2018</v>
      </c>
      <c r="E15" s="1">
        <v>0.6806712962962963</v>
      </c>
      <c r="F15" s="1">
        <v>0.68135416666666671</v>
      </c>
      <c r="G15" s="1">
        <v>0.68221064814814814</v>
      </c>
      <c r="H15" s="1">
        <v>0.68589120370370371</v>
      </c>
      <c r="I15" s="1">
        <v>0.68314814814814817</v>
      </c>
      <c r="J15" s="1">
        <v>0.69052083333333336</v>
      </c>
      <c r="K15" s="1">
        <v>0.69268518518518518</v>
      </c>
      <c r="L15" s="1">
        <v>0.69876157407407402</v>
      </c>
      <c r="M15" s="1">
        <v>0.69982638888888893</v>
      </c>
      <c r="N15" s="1" t="s">
        <v>399</v>
      </c>
      <c r="O15" s="1" t="s">
        <v>33</v>
      </c>
      <c r="P15" s="1" t="s">
        <v>169</v>
      </c>
      <c r="S15" s="1">
        <v>6.828703703704031E-4</v>
      </c>
      <c r="T15" s="1">
        <v>8.5648148148143033E-4</v>
      </c>
      <c r="U15" s="1">
        <v>9.3750000000003553E-4</v>
      </c>
      <c r="V15" s="1">
        <v>3.6805555555555758E-3</v>
      </c>
      <c r="W15" s="1">
        <v>4.6296296296296502E-3</v>
      </c>
      <c r="X15" s="1">
        <v>9.5370370370370106E-3</v>
      </c>
      <c r="Y15" s="1">
        <v>1.6550925925925886E-2</v>
      </c>
      <c r="Z15" s="1">
        <v>1.9155092592592626E-2</v>
      </c>
    </row>
    <row r="16" spans="1:26" x14ac:dyDescent="0.25">
      <c r="A16">
        <v>1</v>
      </c>
      <c r="B16" t="s">
        <v>15</v>
      </c>
      <c r="C16" t="s">
        <v>414</v>
      </c>
      <c r="D16">
        <v>2020</v>
      </c>
      <c r="E16" s="1">
        <v>0.3869097222222222</v>
      </c>
      <c r="F16" s="1">
        <v>0.3871412037037037</v>
      </c>
      <c r="G16" s="1">
        <v>0.38778935185185187</v>
      </c>
      <c r="H16" s="1">
        <v>0.39018518518518519</v>
      </c>
      <c r="I16" s="1">
        <v>0.38854166666666667</v>
      </c>
      <c r="J16" s="1">
        <v>0.39357638888888891</v>
      </c>
      <c r="K16" s="1">
        <v>0.41189814814814812</v>
      </c>
      <c r="L16" s="1">
        <v>0.41214120370370372</v>
      </c>
      <c r="M16" s="1">
        <v>0.43489583333333331</v>
      </c>
      <c r="N16" s="1" t="s">
        <v>415</v>
      </c>
      <c r="O16" s="1" t="s">
        <v>34</v>
      </c>
      <c r="P16" s="1" t="s">
        <v>169</v>
      </c>
      <c r="S16" s="1">
        <v>2.3148148148149916E-4</v>
      </c>
      <c r="T16" s="1">
        <v>6.4814814814817545E-4</v>
      </c>
      <c r="U16" s="1">
        <v>7.5231481481480289E-4</v>
      </c>
      <c r="V16" s="1">
        <v>2.3958333333333193E-3</v>
      </c>
      <c r="W16" s="1">
        <v>3.3912037037037157E-3</v>
      </c>
      <c r="X16" s="1">
        <v>2.335648148148145E-2</v>
      </c>
      <c r="Y16" s="1">
        <v>2.4351851851851847E-2</v>
      </c>
      <c r="Z16" s="1">
        <v>4.7986111111111118E-2</v>
      </c>
    </row>
    <row r="17" spans="1:26" x14ac:dyDescent="0.25">
      <c r="A17">
        <v>4</v>
      </c>
      <c r="B17" t="s">
        <v>416</v>
      </c>
      <c r="C17" t="s">
        <v>417</v>
      </c>
      <c r="D17">
        <v>2014</v>
      </c>
      <c r="E17" s="1">
        <v>0.39447916666666666</v>
      </c>
      <c r="F17" s="1">
        <v>0.39461805555555557</v>
      </c>
      <c r="G17" s="1">
        <v>0.39554398148148145</v>
      </c>
      <c r="H17" s="1">
        <v>0.39859953703703704</v>
      </c>
      <c r="I17" s="1">
        <v>0.39672453703703703</v>
      </c>
      <c r="J17" s="1">
        <v>0.40119212962962963</v>
      </c>
      <c r="K17" s="1">
        <v>0.40414351851851854</v>
      </c>
      <c r="L17" s="1">
        <v>0.40781250000000002</v>
      </c>
      <c r="M17" s="1">
        <v>0.40824074074074074</v>
      </c>
      <c r="N17" s="1" t="s">
        <v>418</v>
      </c>
      <c r="O17" s="1" t="s">
        <v>34</v>
      </c>
      <c r="P17" s="1" t="s">
        <v>169</v>
      </c>
      <c r="S17" s="1">
        <v>1.388888888889106E-4</v>
      </c>
      <c r="T17" s="1">
        <v>9.2592592592588563E-4</v>
      </c>
      <c r="U17" s="1">
        <v>1.1805555555555736E-3</v>
      </c>
      <c r="V17" s="1">
        <v>3.0555555555555891E-3</v>
      </c>
      <c r="W17" s="1">
        <v>2.5925925925925908E-3</v>
      </c>
      <c r="X17" s="1">
        <v>7.4189814814815125E-3</v>
      </c>
      <c r="Y17" s="1">
        <v>1.2268518518518567E-2</v>
      </c>
      <c r="Z17" s="1">
        <v>1.3761574074074079E-2</v>
      </c>
    </row>
    <row r="18" spans="1:26" x14ac:dyDescent="0.25">
      <c r="A18">
        <v>4</v>
      </c>
      <c r="B18" t="s">
        <v>12</v>
      </c>
      <c r="C18" t="s">
        <v>424</v>
      </c>
      <c r="D18">
        <v>2017</v>
      </c>
      <c r="E18" s="1">
        <v>0.53568287037037032</v>
      </c>
      <c r="F18" s="1">
        <v>0.53576388888888893</v>
      </c>
      <c r="G18" s="1">
        <v>0.53651620370370368</v>
      </c>
      <c r="H18" s="1">
        <v>0.53872685185185187</v>
      </c>
      <c r="I18" s="1">
        <v>0.53770833333333334</v>
      </c>
      <c r="J18" s="1">
        <v>0.54129629629629628</v>
      </c>
      <c r="K18" s="1">
        <v>0.55969907407407404</v>
      </c>
      <c r="L18" s="1">
        <v>0.56065972222222227</v>
      </c>
      <c r="M18" s="1">
        <v>0.56129629629629629</v>
      </c>
      <c r="N18" s="1" t="s">
        <v>425</v>
      </c>
      <c r="O18" s="1" t="s">
        <v>36</v>
      </c>
      <c r="P18" s="1" t="s">
        <v>169</v>
      </c>
      <c r="S18" s="1">
        <v>8.1018518518605198E-5</v>
      </c>
      <c r="T18" s="1">
        <v>7.5231481481474738E-4</v>
      </c>
      <c r="U18" s="1">
        <v>1.192129629629668E-3</v>
      </c>
      <c r="V18" s="1">
        <v>2.2106481481481977E-3</v>
      </c>
      <c r="W18" s="1">
        <v>2.569444444444402E-3</v>
      </c>
      <c r="X18" s="1">
        <v>2.19907407407407E-2</v>
      </c>
      <c r="Y18" s="1">
        <v>2.4143518518518592E-2</v>
      </c>
      <c r="Z18" s="1">
        <v>2.561342592592597E-2</v>
      </c>
    </row>
    <row r="19" spans="1:26" x14ac:dyDescent="0.25">
      <c r="A19">
        <v>1</v>
      </c>
      <c r="B19" t="s">
        <v>416</v>
      </c>
      <c r="C19" t="s">
        <v>428</v>
      </c>
      <c r="D19">
        <v>2025</v>
      </c>
      <c r="E19" s="1">
        <v>0.56314814814814818</v>
      </c>
      <c r="F19" s="1">
        <v>0.56329861111111112</v>
      </c>
      <c r="G19" s="1">
        <v>0.56409722222222225</v>
      </c>
      <c r="H19" s="1">
        <v>0.56687500000000002</v>
      </c>
      <c r="I19" s="1">
        <v>0.5649305555555556</v>
      </c>
      <c r="J19" s="1">
        <v>0.56793981481481481</v>
      </c>
      <c r="K19" s="1">
        <v>0.57568287037037036</v>
      </c>
      <c r="L19" s="1">
        <v>0.57581018518518523</v>
      </c>
      <c r="M19" s="1">
        <v>0.57671296296296293</v>
      </c>
      <c r="N19" s="1" t="s">
        <v>429</v>
      </c>
      <c r="O19" s="1" t="s">
        <v>34</v>
      </c>
      <c r="P19" s="1" t="s">
        <v>169</v>
      </c>
      <c r="S19" s="1">
        <v>1.5046296296294948E-4</v>
      </c>
      <c r="T19" s="1">
        <v>7.9861111111112493E-4</v>
      </c>
      <c r="U19" s="1">
        <v>8.3333333333335258E-4</v>
      </c>
      <c r="V19" s="1">
        <v>2.7777777777777679E-3</v>
      </c>
      <c r="W19" s="1">
        <v>1.0648148148147962E-3</v>
      </c>
      <c r="X19" s="1">
        <v>1.0752314814814756E-2</v>
      </c>
      <c r="Y19" s="1">
        <v>1.1712962962962981E-2</v>
      </c>
      <c r="Z19" s="1">
        <v>1.3564814814814752E-2</v>
      </c>
    </row>
    <row r="20" spans="1:26" x14ac:dyDescent="0.25">
      <c r="A20">
        <v>1</v>
      </c>
      <c r="B20" t="s">
        <v>15</v>
      </c>
      <c r="C20" t="s">
        <v>430</v>
      </c>
      <c r="D20">
        <v>2017</v>
      </c>
      <c r="E20" s="1">
        <v>0.57821759259259264</v>
      </c>
      <c r="F20" s="1">
        <v>0.57831018518518518</v>
      </c>
      <c r="G20" s="1">
        <v>0.57917824074074076</v>
      </c>
      <c r="H20" s="1">
        <v>0.58113425925925921</v>
      </c>
      <c r="I20" s="1">
        <v>0.5799305555555555</v>
      </c>
      <c r="J20" s="1">
        <v>0.58283564814814814</v>
      </c>
      <c r="K20" s="1">
        <v>0.58581018518518524</v>
      </c>
      <c r="L20" s="1">
        <v>0.58643518518518523</v>
      </c>
      <c r="M20" s="1">
        <v>0.58699074074074076</v>
      </c>
      <c r="N20" s="1" t="s">
        <v>431</v>
      </c>
      <c r="O20" s="1" t="s">
        <v>34</v>
      </c>
      <c r="P20" s="1" t="s">
        <v>169</v>
      </c>
      <c r="S20" s="1">
        <v>9.2592592592533052E-5</v>
      </c>
      <c r="T20" s="1">
        <v>8.6805555555558023E-4</v>
      </c>
      <c r="U20" s="1">
        <v>7.5231481481474738E-4</v>
      </c>
      <c r="V20" s="1">
        <v>1.9560185185184542E-3</v>
      </c>
      <c r="W20" s="1">
        <v>1.7013888888889328E-3</v>
      </c>
      <c r="X20" s="1">
        <v>5.8796296296297346E-3</v>
      </c>
      <c r="Y20" s="1">
        <v>7.2569444444444686E-3</v>
      </c>
      <c r="Z20" s="1">
        <v>8.7731481481481133E-3</v>
      </c>
    </row>
    <row r="21" spans="1:26" x14ac:dyDescent="0.25">
      <c r="A21">
        <v>2</v>
      </c>
      <c r="B21" t="s">
        <v>394</v>
      </c>
      <c r="C21" t="s">
        <v>434</v>
      </c>
      <c r="D21">
        <v>2024</v>
      </c>
      <c r="E21" s="1">
        <v>0.60243055555555558</v>
      </c>
      <c r="F21" s="1">
        <v>0.60248842592592589</v>
      </c>
      <c r="G21" s="1">
        <v>0.60275462962962967</v>
      </c>
      <c r="H21" s="1">
        <v>0.60468750000000004</v>
      </c>
      <c r="I21" s="1">
        <v>0.60393518518518519</v>
      </c>
      <c r="J21" s="1">
        <v>0.60468750000000004</v>
      </c>
      <c r="K21" s="1">
        <v>0.61046296296296299</v>
      </c>
      <c r="L21" s="1">
        <v>0.6107407407407407</v>
      </c>
      <c r="M21" s="1">
        <v>0.65378472222222217</v>
      </c>
      <c r="N21" s="1" t="s">
        <v>291</v>
      </c>
      <c r="O21" s="1" t="s">
        <v>34</v>
      </c>
      <c r="P21" s="1" t="s">
        <v>169</v>
      </c>
      <c r="S21" s="1">
        <v>5.7870370370305402E-5</v>
      </c>
      <c r="T21" s="1">
        <v>2.6620370370378232E-4</v>
      </c>
      <c r="U21" s="1">
        <v>1.1805555555555181E-3</v>
      </c>
      <c r="V21" s="1">
        <v>1.9328703703703765E-3</v>
      </c>
      <c r="W21" s="1">
        <v>0</v>
      </c>
      <c r="X21" s="1">
        <v>6.527777777777799E-3</v>
      </c>
      <c r="Y21" s="1">
        <v>7.9861111111110272E-3</v>
      </c>
      <c r="Z21" s="1">
        <v>5.135416666666659E-2</v>
      </c>
    </row>
    <row r="22" spans="1:26" x14ac:dyDescent="0.25">
      <c r="A22">
        <v>1</v>
      </c>
      <c r="B22" t="s">
        <v>416</v>
      </c>
      <c r="C22" t="s">
        <v>436</v>
      </c>
      <c r="D22">
        <v>2015</v>
      </c>
      <c r="E22" s="1">
        <v>0.63103009259259257</v>
      </c>
      <c r="F22" s="1">
        <v>0.63131944444444443</v>
      </c>
      <c r="G22" s="1">
        <v>0.6325115740740741</v>
      </c>
      <c r="H22" s="1">
        <v>0.63608796296296299</v>
      </c>
      <c r="I22" s="1">
        <v>0.63310185185185186</v>
      </c>
      <c r="J22" s="1">
        <v>0.63849537037037041</v>
      </c>
      <c r="K22" s="1">
        <v>0.64145833333333335</v>
      </c>
      <c r="L22" s="1">
        <v>0.64202546296296292</v>
      </c>
      <c r="M22" s="1">
        <v>0.64388888888888884</v>
      </c>
      <c r="N22" s="1" t="s">
        <v>421</v>
      </c>
      <c r="O22" s="1" t="s">
        <v>34</v>
      </c>
      <c r="P22" s="1" t="s">
        <v>169</v>
      </c>
      <c r="S22" s="1">
        <v>2.8935185185186008E-4</v>
      </c>
      <c r="T22" s="1">
        <v>1.192129629629668E-3</v>
      </c>
      <c r="U22" s="1">
        <v>5.9027777777775903E-4</v>
      </c>
      <c r="V22" s="1">
        <v>3.5763888888888928E-3</v>
      </c>
      <c r="W22" s="1">
        <v>2.4074074074074137E-3</v>
      </c>
      <c r="X22" s="1">
        <v>8.3564814814814925E-3</v>
      </c>
      <c r="Y22" s="1">
        <v>9.5138888888888218E-3</v>
      </c>
      <c r="Z22" s="1">
        <v>1.2858796296296271E-2</v>
      </c>
    </row>
    <row r="23" spans="1:26" x14ac:dyDescent="0.25">
      <c r="A23">
        <v>2</v>
      </c>
      <c r="B23" t="s">
        <v>444</v>
      </c>
      <c r="C23" t="s">
        <v>445</v>
      </c>
      <c r="D23">
        <v>2010</v>
      </c>
      <c r="E23" s="1">
        <v>0.6653472222222222</v>
      </c>
      <c r="F23" s="1">
        <v>0.66570601851851852</v>
      </c>
      <c r="G23" s="1">
        <v>0.66628472222222224</v>
      </c>
      <c r="H23" s="1">
        <v>0.67219907407407409</v>
      </c>
      <c r="I23" s="1">
        <v>0.66748842592592594</v>
      </c>
      <c r="J23" s="1">
        <v>0.6739236111111111</v>
      </c>
      <c r="K23" s="1">
        <v>0.67972222222222223</v>
      </c>
      <c r="L23" s="1">
        <v>0.68030092592592595</v>
      </c>
      <c r="M23" s="1">
        <v>0.68148148148148147</v>
      </c>
      <c r="N23" s="1" t="s">
        <v>446</v>
      </c>
      <c r="O23" s="1" t="s">
        <v>34</v>
      </c>
      <c r="P23" s="1" t="s">
        <v>169</v>
      </c>
      <c r="S23" s="1">
        <v>3.5879629629631538E-4</v>
      </c>
      <c r="T23" s="1">
        <v>5.7870370370372015E-4</v>
      </c>
      <c r="U23" s="1">
        <v>1.2037037037037068E-3</v>
      </c>
      <c r="V23" s="1">
        <v>5.9143518518518512E-3</v>
      </c>
      <c r="W23" s="1">
        <v>1.7245370370370106E-3</v>
      </c>
      <c r="X23" s="1">
        <v>1.2233796296296284E-2</v>
      </c>
      <c r="Y23" s="1">
        <v>1.4016203703703711E-2</v>
      </c>
      <c r="Z23" s="1">
        <v>1.6134259259259265E-2</v>
      </c>
    </row>
    <row r="24" spans="1:26" x14ac:dyDescent="0.25">
      <c r="A24">
        <v>2</v>
      </c>
      <c r="B24" t="s">
        <v>451</v>
      </c>
      <c r="C24" t="s">
        <v>452</v>
      </c>
      <c r="D24">
        <v>2016</v>
      </c>
      <c r="E24" s="1">
        <v>0.71013888888888888</v>
      </c>
      <c r="F24" s="1">
        <v>0.71028935185185182</v>
      </c>
      <c r="G24" s="1">
        <v>0.71109953703703699</v>
      </c>
      <c r="H24" s="1">
        <v>0.71263888888888893</v>
      </c>
      <c r="I24" s="1">
        <v>0.71186342592592589</v>
      </c>
      <c r="J24" s="1">
        <v>0.71543981481481478</v>
      </c>
      <c r="K24" s="1">
        <v>0.72787037037037039</v>
      </c>
      <c r="L24" s="1">
        <v>0.75225694444444446</v>
      </c>
      <c r="M24" s="1">
        <v>0.75377314814814811</v>
      </c>
      <c r="N24" s="1" t="s">
        <v>453</v>
      </c>
      <c r="O24" s="1" t="s">
        <v>33</v>
      </c>
      <c r="P24" s="1" t="s">
        <v>169</v>
      </c>
      <c r="S24" s="1">
        <v>1.5046296296294948E-4</v>
      </c>
      <c r="T24" s="1">
        <v>8.101851851851638E-4</v>
      </c>
      <c r="U24" s="1">
        <v>7.6388888888889728E-4</v>
      </c>
      <c r="V24" s="1">
        <v>1.5393518518519445E-3</v>
      </c>
      <c r="W24" s="1">
        <v>2.8009259259258457E-3</v>
      </c>
      <c r="X24" s="1">
        <v>1.6006944444444504E-2</v>
      </c>
      <c r="Y24" s="1">
        <v>4.1157407407407476E-2</v>
      </c>
      <c r="Z24" s="1">
        <v>4.3634259259259234E-2</v>
      </c>
    </row>
    <row r="25" spans="1:26" x14ac:dyDescent="0.25">
      <c r="A25">
        <v>1</v>
      </c>
      <c r="B25" t="s">
        <v>12</v>
      </c>
      <c r="C25" t="s">
        <v>456</v>
      </c>
      <c r="D25">
        <v>2012</v>
      </c>
      <c r="E25" s="1">
        <v>0.40768518518518521</v>
      </c>
      <c r="F25" s="1">
        <v>0.40790509259259261</v>
      </c>
      <c r="G25" s="1">
        <v>0.40895833333333331</v>
      </c>
      <c r="H25" s="1">
        <v>0.41074074074074074</v>
      </c>
      <c r="I25" s="1">
        <v>0.41038194444444442</v>
      </c>
      <c r="J25" s="1">
        <v>0.41202546296296294</v>
      </c>
      <c r="K25" s="1">
        <v>0.41473379629629631</v>
      </c>
      <c r="L25" s="1">
        <v>0.4150462962962963</v>
      </c>
      <c r="M25" s="1">
        <v>0.41549768518518521</v>
      </c>
      <c r="N25" s="1" t="s">
        <v>343</v>
      </c>
      <c r="O25" s="1" t="s">
        <v>33</v>
      </c>
      <c r="P25" s="1" t="s">
        <v>169</v>
      </c>
      <c r="S25" s="1">
        <v>2.1990740740740478E-4</v>
      </c>
      <c r="T25" s="1">
        <v>1.0532407407407018E-3</v>
      </c>
      <c r="U25" s="1">
        <v>1.4236111111111116E-3</v>
      </c>
      <c r="V25" s="1">
        <v>1.782407407407427E-3</v>
      </c>
      <c r="W25" s="1">
        <v>1.284722222222201E-3</v>
      </c>
      <c r="X25" s="1">
        <v>4.3518518518518845E-3</v>
      </c>
      <c r="Y25" s="1">
        <v>6.0879629629629894E-3</v>
      </c>
      <c r="Z25" s="1">
        <v>7.8125E-3</v>
      </c>
    </row>
    <row r="26" spans="1:26" x14ac:dyDescent="0.25">
      <c r="A26">
        <v>1</v>
      </c>
      <c r="B26" t="s">
        <v>12</v>
      </c>
      <c r="C26" t="s">
        <v>445</v>
      </c>
      <c r="D26">
        <v>2013</v>
      </c>
      <c r="E26" s="1">
        <v>0.51796296296296296</v>
      </c>
      <c r="F26" s="1">
        <v>0.5181365740740741</v>
      </c>
      <c r="G26" s="1">
        <v>0.51974537037037039</v>
      </c>
      <c r="H26" s="1">
        <v>0.52271990740740737</v>
      </c>
      <c r="I26" s="1">
        <v>0.52060185185185182</v>
      </c>
      <c r="J26" s="1">
        <v>0.52431712962962962</v>
      </c>
      <c r="K26" s="1">
        <v>0.52819444444444441</v>
      </c>
      <c r="L26" s="1">
        <v>0.52938657407407408</v>
      </c>
      <c r="M26" s="1">
        <v>0.53019675925925924</v>
      </c>
      <c r="N26" s="1" t="s">
        <v>365</v>
      </c>
      <c r="O26" s="1" t="s">
        <v>34</v>
      </c>
      <c r="P26" s="1" t="s">
        <v>169</v>
      </c>
      <c r="S26" s="1">
        <v>1.7361111111113825E-4</v>
      </c>
      <c r="T26" s="1">
        <v>1.6087962962962887E-3</v>
      </c>
      <c r="U26" s="1">
        <v>8.5648148148143033E-4</v>
      </c>
      <c r="V26" s="1">
        <v>2.9745370370369839E-3</v>
      </c>
      <c r="W26" s="1">
        <v>1.5972222222222499E-3</v>
      </c>
      <c r="X26" s="1">
        <v>7.5925925925925952E-3</v>
      </c>
      <c r="Y26" s="1">
        <v>9.6412037037036935E-3</v>
      </c>
      <c r="Z26" s="1">
        <v>1.2233796296296284E-2</v>
      </c>
    </row>
    <row r="27" spans="1:26" x14ac:dyDescent="0.25">
      <c r="A27">
        <v>4</v>
      </c>
      <c r="B27" t="s">
        <v>394</v>
      </c>
      <c r="C27" t="s">
        <v>465</v>
      </c>
      <c r="D27">
        <v>2013</v>
      </c>
      <c r="E27" s="1">
        <v>0.60699074074074078</v>
      </c>
      <c r="F27" s="1">
        <v>0.60741898148148143</v>
      </c>
      <c r="G27" s="1">
        <v>0.61108796296296297</v>
      </c>
      <c r="H27" s="1">
        <v>0.61488425925925927</v>
      </c>
      <c r="I27" s="1">
        <v>0.6128703703703704</v>
      </c>
      <c r="J27" s="1">
        <v>0.61946759259259254</v>
      </c>
      <c r="K27" s="1">
        <v>0.62785879629629626</v>
      </c>
      <c r="L27" s="1">
        <v>0.62935185185185183</v>
      </c>
      <c r="M27" s="1">
        <v>0.60724537037037041</v>
      </c>
      <c r="N27" s="1" t="s">
        <v>343</v>
      </c>
      <c r="O27" s="1" t="s">
        <v>33</v>
      </c>
      <c r="P27" s="1" t="s">
        <v>169</v>
      </c>
      <c r="S27" s="1">
        <v>4.2824074074065965E-4</v>
      </c>
      <c r="T27" s="1">
        <v>3.6689814814815369E-3</v>
      </c>
      <c r="U27" s="1">
        <v>1.782407407407427E-3</v>
      </c>
      <c r="V27" s="1">
        <v>3.7962962962962976E-3</v>
      </c>
      <c r="W27" s="1">
        <v>4.5833333333332726E-3</v>
      </c>
      <c r="X27" s="1">
        <v>1.4988425925925863E-2</v>
      </c>
      <c r="Y27" s="1">
        <v>1.8263888888888857E-2</v>
      </c>
      <c r="Z27" s="1">
        <v>2.5462962962963243E-4</v>
      </c>
    </row>
    <row r="28" spans="1:26" x14ac:dyDescent="0.25">
      <c r="A28">
        <v>2</v>
      </c>
      <c r="B28" t="s">
        <v>14</v>
      </c>
      <c r="C28" t="s">
        <v>32</v>
      </c>
      <c r="D28">
        <v>2020</v>
      </c>
      <c r="E28" s="1">
        <v>0.47843750000000002</v>
      </c>
      <c r="F28" s="1">
        <v>0.47854166666666664</v>
      </c>
      <c r="G28" s="1">
        <v>0.48615740740740743</v>
      </c>
      <c r="H28" s="1">
        <v>0.48946759259259259</v>
      </c>
      <c r="I28" s="1">
        <v>0.48712962962962963</v>
      </c>
      <c r="J28" s="1">
        <v>0.49184027777777778</v>
      </c>
      <c r="K28" s="1">
        <v>0.49604166666666666</v>
      </c>
      <c r="L28" s="1">
        <v>0.49655092592592592</v>
      </c>
      <c r="M28" s="1">
        <v>0.49739583333333331</v>
      </c>
      <c r="N28" s="1" t="s">
        <v>54</v>
      </c>
      <c r="O28" s="1" t="s">
        <v>34</v>
      </c>
      <c r="P28" s="1" t="s">
        <v>169</v>
      </c>
      <c r="S28" s="1">
        <v>1.0416666666662744E-4</v>
      </c>
      <c r="T28" s="1">
        <v>7.615740740740784E-3</v>
      </c>
      <c r="U28" s="1">
        <v>9.7222222222220767E-4</v>
      </c>
      <c r="V28" s="1">
        <v>3.310185185185166E-3</v>
      </c>
      <c r="W28" s="1">
        <v>2.372685185185186E-3</v>
      </c>
      <c r="X28" s="1">
        <v>8.9120370370370239E-3</v>
      </c>
      <c r="Y28" s="1">
        <v>1.0393518518518496E-2</v>
      </c>
      <c r="Z28" s="1">
        <v>1.8958333333333299E-2</v>
      </c>
    </row>
    <row r="29" spans="1:26" x14ac:dyDescent="0.25">
      <c r="A29">
        <v>4</v>
      </c>
      <c r="B29" t="s">
        <v>444</v>
      </c>
      <c r="C29" t="s">
        <v>481</v>
      </c>
      <c r="D29">
        <v>2025</v>
      </c>
      <c r="E29" s="1">
        <v>0.39371527777777776</v>
      </c>
      <c r="F29" s="1">
        <v>0.39391203703703703</v>
      </c>
      <c r="G29" s="1">
        <v>0.39445601851851853</v>
      </c>
      <c r="H29" s="1">
        <v>0.39604166666666668</v>
      </c>
      <c r="I29" s="1">
        <v>0.39497685185185183</v>
      </c>
      <c r="J29" s="1">
        <v>0.3972222222222222</v>
      </c>
      <c r="K29" s="1">
        <v>0.40085648148148151</v>
      </c>
      <c r="L29" s="1">
        <v>0.40569444444444447</v>
      </c>
      <c r="M29" s="1">
        <v>0.40645833333333331</v>
      </c>
      <c r="N29" s="1" t="s">
        <v>482</v>
      </c>
      <c r="O29" s="1" t="s">
        <v>34</v>
      </c>
      <c r="P29" s="1" t="s">
        <v>169</v>
      </c>
      <c r="S29" s="1">
        <v>1.9675925925927151E-4</v>
      </c>
      <c r="T29" s="1">
        <v>5.439814814814925E-4</v>
      </c>
      <c r="U29" s="1">
        <v>5.2083333333330373E-4</v>
      </c>
      <c r="V29" s="1">
        <v>1.5856481481481555E-3</v>
      </c>
      <c r="W29" s="1">
        <v>1.1805555555555181E-3</v>
      </c>
      <c r="X29" s="1">
        <v>5.8796296296296791E-3</v>
      </c>
      <c r="Y29" s="1">
        <v>1.1238425925925943E-2</v>
      </c>
      <c r="Z29" s="1">
        <v>1.2743055555555549E-2</v>
      </c>
    </row>
    <row r="30" spans="1:26" x14ac:dyDescent="0.25">
      <c r="A30">
        <v>1</v>
      </c>
      <c r="B30" t="s">
        <v>416</v>
      </c>
      <c r="C30" t="s">
        <v>417</v>
      </c>
      <c r="D30">
        <v>2023</v>
      </c>
      <c r="E30" s="1">
        <v>0.45295138888888886</v>
      </c>
      <c r="F30" s="1">
        <v>0.45310185185185187</v>
      </c>
      <c r="G30" s="1">
        <v>0.45553240740740741</v>
      </c>
      <c r="H30" s="1">
        <v>0.45741898148148147</v>
      </c>
      <c r="I30" s="1">
        <v>0.45621527777777776</v>
      </c>
      <c r="J30" s="1">
        <v>0.45968750000000003</v>
      </c>
      <c r="K30" s="1">
        <v>0.4649652777777778</v>
      </c>
      <c r="L30" s="1">
        <v>0.48072916666666665</v>
      </c>
      <c r="M30" s="1">
        <v>0.48172453703703705</v>
      </c>
      <c r="N30" s="1" t="s">
        <v>487</v>
      </c>
      <c r="O30" s="1" t="s">
        <v>34</v>
      </c>
      <c r="P30" s="1" t="s">
        <v>169</v>
      </c>
      <c r="S30" s="1">
        <v>1.5046296296300499E-4</v>
      </c>
      <c r="T30" s="1">
        <v>2.4305555555555469E-3</v>
      </c>
      <c r="U30" s="1">
        <v>6.8287037037034759E-4</v>
      </c>
      <c r="V30" s="1">
        <v>1.8865740740740544E-3</v>
      </c>
      <c r="W30" s="1">
        <v>2.2685185185185586E-3</v>
      </c>
      <c r="X30" s="1">
        <v>8.7500000000000355E-3</v>
      </c>
      <c r="Y30" s="1">
        <v>2.5196759259259238E-2</v>
      </c>
      <c r="Z30" s="1">
        <v>2.8773148148148187E-2</v>
      </c>
    </row>
    <row r="31" spans="1:26" x14ac:dyDescent="0.25">
      <c r="A31">
        <v>2</v>
      </c>
      <c r="B31" t="s">
        <v>416</v>
      </c>
      <c r="C31" t="s">
        <v>417</v>
      </c>
      <c r="D31">
        <v>2014</v>
      </c>
      <c r="E31" s="1">
        <v>0.45744212962962966</v>
      </c>
      <c r="F31" s="1">
        <v>0.45763888888888887</v>
      </c>
      <c r="G31" s="1">
        <v>0.45853009259259259</v>
      </c>
      <c r="H31" s="1">
        <v>0.46151620370370372</v>
      </c>
      <c r="I31" s="1">
        <v>0.45935185185185184</v>
      </c>
      <c r="J31" s="1">
        <v>0.46429398148148149</v>
      </c>
      <c r="K31" s="1">
        <v>0.48078703703703701</v>
      </c>
      <c r="L31" s="1">
        <v>0.48650462962962965</v>
      </c>
      <c r="M31" s="1">
        <v>0.48859953703703701</v>
      </c>
      <c r="N31" s="1" t="s">
        <v>488</v>
      </c>
      <c r="O31" s="1" t="s">
        <v>34</v>
      </c>
      <c r="P31" s="1" t="s">
        <v>169</v>
      </c>
      <c r="S31" s="1">
        <v>1.96759259259216E-4</v>
      </c>
      <c r="T31" s="1">
        <v>8.9120370370371349E-4</v>
      </c>
      <c r="U31" s="1">
        <v>8.2175925925925819E-4</v>
      </c>
      <c r="V31" s="1">
        <v>2.9861111111111338E-3</v>
      </c>
      <c r="W31" s="1">
        <v>2.7777777777777679E-3</v>
      </c>
      <c r="X31" s="1">
        <v>2.1435185185185168E-2</v>
      </c>
      <c r="Y31" s="1">
        <v>2.7974537037037062E-2</v>
      </c>
      <c r="Z31" s="1">
        <v>3.1157407407407356E-2</v>
      </c>
    </row>
    <row r="32" spans="1:26" x14ac:dyDescent="0.25">
      <c r="A32">
        <v>1</v>
      </c>
      <c r="B32" t="s">
        <v>444</v>
      </c>
      <c r="C32" t="s">
        <v>456</v>
      </c>
      <c r="D32">
        <v>2018</v>
      </c>
      <c r="E32" s="1">
        <v>0.47870370370370369</v>
      </c>
      <c r="F32" s="1">
        <v>0.47917824074074072</v>
      </c>
      <c r="G32" s="1">
        <v>0.48342592592592593</v>
      </c>
      <c r="H32" s="1">
        <v>0.48504629629629631</v>
      </c>
      <c r="I32" s="1">
        <v>0.4841435185185185</v>
      </c>
      <c r="J32" s="1">
        <v>0.48986111111111114</v>
      </c>
      <c r="K32" s="1">
        <v>0.49388888888888888</v>
      </c>
      <c r="L32" s="1">
        <v>0.49702546296296296</v>
      </c>
      <c r="M32" s="1">
        <v>0.4989351851851852</v>
      </c>
      <c r="N32" s="1" t="s">
        <v>491</v>
      </c>
      <c r="O32" s="1" t="s">
        <v>33</v>
      </c>
      <c r="P32" s="1" t="s">
        <v>169</v>
      </c>
      <c r="S32" s="1">
        <v>4.745370370370372E-4</v>
      </c>
      <c r="T32" s="1">
        <v>4.2476851851852016E-3</v>
      </c>
      <c r="U32" s="1">
        <v>7.1759259259257524E-4</v>
      </c>
      <c r="V32" s="1">
        <v>1.6203703703703831E-3</v>
      </c>
      <c r="W32" s="1">
        <v>4.8148148148148273E-3</v>
      </c>
      <c r="X32" s="1">
        <v>9.7453703703703765E-3</v>
      </c>
      <c r="Y32" s="1">
        <v>1.3599537037037035E-2</v>
      </c>
      <c r="Z32" s="1">
        <v>2.0231481481481517E-2</v>
      </c>
    </row>
    <row r="33" spans="1:26" x14ac:dyDescent="0.25">
      <c r="A33">
        <v>1</v>
      </c>
      <c r="B33" t="s">
        <v>444</v>
      </c>
      <c r="C33" t="s">
        <v>334</v>
      </c>
      <c r="D33">
        <v>2015</v>
      </c>
      <c r="E33" s="1">
        <v>0.56741898148148151</v>
      </c>
      <c r="F33" s="1">
        <v>0.56759259259259254</v>
      </c>
      <c r="G33" s="1">
        <v>0.56822916666666667</v>
      </c>
      <c r="H33" s="1">
        <v>0.56998842592592591</v>
      </c>
      <c r="I33" s="1">
        <v>0.56874999999999998</v>
      </c>
      <c r="J33" s="1">
        <v>0.5708333333333333</v>
      </c>
      <c r="K33" s="1">
        <v>0.57391203703703708</v>
      </c>
      <c r="L33" s="1">
        <v>0.57459490740740737</v>
      </c>
      <c r="M33" s="1">
        <v>0.58071759259259259</v>
      </c>
      <c r="N33" s="1" t="s">
        <v>54</v>
      </c>
      <c r="O33" s="1" t="s">
        <v>34</v>
      </c>
      <c r="P33" s="1" t="s">
        <v>169</v>
      </c>
      <c r="S33" s="1">
        <v>1.7361111111102723E-4</v>
      </c>
      <c r="T33" s="1">
        <v>6.3657407407413658E-4</v>
      </c>
      <c r="U33" s="1">
        <v>5.2083333333330373E-4</v>
      </c>
      <c r="V33" s="1">
        <v>1.7592592592592382E-3</v>
      </c>
      <c r="W33" s="1">
        <v>8.4490740740739145E-4</v>
      </c>
      <c r="X33" s="1">
        <v>5.1620370370371038E-3</v>
      </c>
      <c r="Y33" s="1">
        <v>6.3657407407406996E-3</v>
      </c>
      <c r="Z33" s="1">
        <v>1.3298611111111081E-2</v>
      </c>
    </row>
    <row r="34" spans="1:26" x14ac:dyDescent="0.25">
      <c r="A34">
        <v>1</v>
      </c>
      <c r="B34" t="s">
        <v>416</v>
      </c>
      <c r="C34" t="s">
        <v>436</v>
      </c>
      <c r="D34">
        <v>2024</v>
      </c>
      <c r="E34" s="1">
        <v>0.6045949074074074</v>
      </c>
      <c r="F34" s="1">
        <v>0.6047569444444445</v>
      </c>
      <c r="G34" s="1">
        <v>0.60532407407407407</v>
      </c>
      <c r="H34" s="1">
        <v>0.60724537037037041</v>
      </c>
      <c r="I34" s="1">
        <v>0.60603009259259255</v>
      </c>
      <c r="J34" s="1">
        <v>0.61064814814814816</v>
      </c>
      <c r="K34" s="1">
        <v>0.61702546296296301</v>
      </c>
      <c r="L34" s="1">
        <v>0.61803240740740739</v>
      </c>
      <c r="M34" s="1">
        <v>0.61571759259259262</v>
      </c>
      <c r="N34" s="1" t="s">
        <v>54</v>
      </c>
      <c r="O34" s="1" t="s">
        <v>34</v>
      </c>
      <c r="P34" s="1" t="s">
        <v>169</v>
      </c>
      <c r="S34" s="1">
        <v>1.6203703703709937E-4</v>
      </c>
      <c r="T34" s="1">
        <v>5.6712962962957025E-4</v>
      </c>
      <c r="U34" s="1">
        <v>7.0601851851848085E-4</v>
      </c>
      <c r="V34" s="1">
        <v>1.9212962962963376E-3</v>
      </c>
      <c r="W34" s="1">
        <v>3.4027777777777546E-3</v>
      </c>
      <c r="X34" s="1">
        <v>1.0995370370370461E-2</v>
      </c>
      <c r="Y34" s="1">
        <v>1.2708333333333321E-2</v>
      </c>
      <c r="Z34" s="1">
        <v>1.1122685185185222E-2</v>
      </c>
    </row>
    <row r="35" spans="1:26" x14ac:dyDescent="0.25">
      <c r="A35">
        <v>1</v>
      </c>
      <c r="B35" t="s">
        <v>15</v>
      </c>
      <c r="C35" t="s">
        <v>502</v>
      </c>
      <c r="D35">
        <v>2004</v>
      </c>
      <c r="E35" s="1">
        <v>0.63021990740740741</v>
      </c>
      <c r="F35" s="1">
        <v>0.630462962962963</v>
      </c>
      <c r="G35" s="1">
        <v>0.63120370370370371</v>
      </c>
      <c r="H35" s="1">
        <v>0.63408564814814816</v>
      </c>
      <c r="I35" s="1">
        <v>0.63211805555555556</v>
      </c>
      <c r="J35" s="1">
        <v>0.63703703703703707</v>
      </c>
      <c r="K35" s="1">
        <v>0.64090277777777782</v>
      </c>
      <c r="L35" s="1">
        <v>0.64959490740740744</v>
      </c>
      <c r="M35" s="1">
        <v>0.6519907407407407</v>
      </c>
      <c r="N35" s="1" t="s">
        <v>503</v>
      </c>
      <c r="O35" s="1" t="s">
        <v>33</v>
      </c>
      <c r="P35" s="1" t="s">
        <v>169</v>
      </c>
      <c r="S35" s="1">
        <v>2.4305555555559355E-4</v>
      </c>
      <c r="T35" s="1">
        <v>7.407407407407085E-4</v>
      </c>
      <c r="U35" s="1">
        <v>9.1435185185184675E-4</v>
      </c>
      <c r="V35" s="1">
        <v>2.8819444444444509E-3</v>
      </c>
      <c r="W35" s="1">
        <v>2.9513888888889062E-3</v>
      </c>
      <c r="X35" s="1">
        <v>8.7847222222222632E-3</v>
      </c>
      <c r="Y35" s="1">
        <v>1.8391203703703729E-2</v>
      </c>
      <c r="Z35" s="1">
        <v>2.1770833333333295E-2</v>
      </c>
    </row>
    <row r="36" spans="1:26" x14ac:dyDescent="0.25">
      <c r="A36">
        <v>4</v>
      </c>
      <c r="B36" t="s">
        <v>505</v>
      </c>
      <c r="C36" t="s">
        <v>339</v>
      </c>
      <c r="D36">
        <v>2018</v>
      </c>
      <c r="E36" s="1">
        <v>0.63809027777777783</v>
      </c>
      <c r="F36" s="1">
        <v>0.63854166666666667</v>
      </c>
      <c r="G36" s="1">
        <v>0.64020833333333338</v>
      </c>
      <c r="H36" s="1">
        <v>0.64489583333333333</v>
      </c>
      <c r="I36" s="1">
        <v>0.64218750000000002</v>
      </c>
      <c r="J36" s="1">
        <v>0.64655092592592589</v>
      </c>
      <c r="K36" s="1">
        <v>0.65126157407407403</v>
      </c>
      <c r="L36" s="1">
        <v>0.65261574074074069</v>
      </c>
      <c r="M36" s="1">
        <v>0.65464120370370371</v>
      </c>
      <c r="N36" s="1" t="s">
        <v>54</v>
      </c>
      <c r="O36" s="1" t="s">
        <v>34</v>
      </c>
      <c r="P36" s="1" t="s">
        <v>169</v>
      </c>
      <c r="S36" s="1">
        <v>4.5138888888884843E-4</v>
      </c>
      <c r="T36" s="1">
        <v>1.6666666666667052E-3</v>
      </c>
      <c r="U36" s="1">
        <v>1.979166666666643E-3</v>
      </c>
      <c r="V36" s="1">
        <v>4.6874999999999556E-3</v>
      </c>
      <c r="W36" s="1">
        <v>1.6550925925925553E-3</v>
      </c>
      <c r="X36" s="1">
        <v>9.0740740740740122E-3</v>
      </c>
      <c r="Y36" s="1">
        <v>1.2407407407407312E-2</v>
      </c>
      <c r="Z36" s="1">
        <v>1.6550925925925886E-2</v>
      </c>
    </row>
    <row r="37" spans="1:26" x14ac:dyDescent="0.25">
      <c r="A37">
        <v>1</v>
      </c>
      <c r="B37" t="s">
        <v>15</v>
      </c>
      <c r="C37" t="s">
        <v>506</v>
      </c>
      <c r="D37">
        <v>2013</v>
      </c>
      <c r="E37" s="1">
        <v>0.6487384259259259</v>
      </c>
      <c r="F37" s="1">
        <v>0.64893518518518523</v>
      </c>
      <c r="G37" s="1">
        <v>0.65083333333333337</v>
      </c>
      <c r="H37" s="1">
        <v>0.65559027777777779</v>
      </c>
      <c r="I37" s="1">
        <v>0.65349537037037042</v>
      </c>
      <c r="J37" s="1">
        <v>0.65708333333333335</v>
      </c>
      <c r="K37" s="1">
        <v>0.66289351851851852</v>
      </c>
      <c r="L37" s="1">
        <v>0.66324074074074069</v>
      </c>
      <c r="M37" s="1">
        <v>0.66519675925925925</v>
      </c>
      <c r="N37" s="1" t="s">
        <v>507</v>
      </c>
      <c r="O37" s="1" t="s">
        <v>34</v>
      </c>
      <c r="P37" s="1" t="s">
        <v>169</v>
      </c>
      <c r="S37" s="1">
        <v>1.9675925925932702E-4</v>
      </c>
      <c r="T37" s="1">
        <v>1.8981481481481488E-3</v>
      </c>
      <c r="U37" s="1">
        <v>2.6620370370370461E-3</v>
      </c>
      <c r="V37" s="1">
        <v>4.7569444444444109E-3</v>
      </c>
      <c r="W37" s="1">
        <v>1.4930555555555669E-3</v>
      </c>
      <c r="X37" s="1">
        <v>9.3981481481481E-3</v>
      </c>
      <c r="Y37" s="1">
        <v>1.2407407407407312E-2</v>
      </c>
      <c r="Z37" s="1">
        <v>1.6458333333333353E-2</v>
      </c>
    </row>
    <row r="38" spans="1:26" x14ac:dyDescent="0.25">
      <c r="A38">
        <v>2</v>
      </c>
      <c r="B38" t="s">
        <v>14</v>
      </c>
      <c r="C38" t="s">
        <v>28</v>
      </c>
      <c r="D38">
        <v>2015</v>
      </c>
      <c r="E38" s="1">
        <v>0.65413194444444445</v>
      </c>
      <c r="F38" s="1">
        <v>0.65439814814814812</v>
      </c>
      <c r="G38" s="1">
        <v>0.6552662037037037</v>
      </c>
      <c r="H38" s="1">
        <v>0.65866898148148145</v>
      </c>
      <c r="I38" s="1">
        <v>0.65635416666666668</v>
      </c>
      <c r="J38" s="1">
        <v>0.66281250000000003</v>
      </c>
      <c r="K38" s="1">
        <v>0.66454861111111108</v>
      </c>
      <c r="L38" s="1">
        <v>0.66498842592592589</v>
      </c>
      <c r="M38" s="1">
        <v>0.66593749999999996</v>
      </c>
      <c r="N38" s="1" t="s">
        <v>421</v>
      </c>
      <c r="O38" s="1" t="s">
        <v>33</v>
      </c>
      <c r="P38" s="1" t="s">
        <v>169</v>
      </c>
      <c r="S38" s="1">
        <v>2.662037037036713E-4</v>
      </c>
      <c r="T38" s="1">
        <v>8.6805555555558023E-4</v>
      </c>
      <c r="U38" s="1">
        <v>1.087962962962985E-3</v>
      </c>
      <c r="V38" s="1">
        <v>3.4027777777777546E-3</v>
      </c>
      <c r="W38" s="1">
        <v>4.1435185185185741E-3</v>
      </c>
      <c r="X38" s="1">
        <v>8.1944444444443931E-3</v>
      </c>
      <c r="Y38" s="1">
        <v>9.7222222222221877E-3</v>
      </c>
      <c r="Z38" s="1">
        <v>1.1805555555555514E-2</v>
      </c>
    </row>
    <row r="39" spans="1:26" x14ac:dyDescent="0.25">
      <c r="A39">
        <v>2</v>
      </c>
      <c r="B39" t="s">
        <v>14</v>
      </c>
      <c r="C39" t="s">
        <v>508</v>
      </c>
      <c r="D39">
        <v>2018</v>
      </c>
      <c r="E39" s="1">
        <v>0.727025462962963</v>
      </c>
      <c r="F39" s="1">
        <v>0.72726851851851848</v>
      </c>
      <c r="G39" s="1">
        <v>0.72916666666666663</v>
      </c>
      <c r="H39" s="1">
        <v>0.73403935185185187</v>
      </c>
      <c r="I39" s="1">
        <v>0.73040509259259256</v>
      </c>
      <c r="J39" s="1">
        <v>0.73644675925925929</v>
      </c>
      <c r="K39" s="1">
        <v>0.73788194444444444</v>
      </c>
      <c r="L39" s="1">
        <v>0.74168981481481477</v>
      </c>
      <c r="M39" s="1">
        <v>0.74101851851851852</v>
      </c>
      <c r="N39" s="1" t="s">
        <v>54</v>
      </c>
      <c r="O39" s="1" t="s">
        <v>34</v>
      </c>
      <c r="P39" s="1" t="s">
        <v>169</v>
      </c>
      <c r="S39" s="1">
        <v>2.4305555555548253E-4</v>
      </c>
      <c r="T39" s="1">
        <v>1.8981481481481488E-3</v>
      </c>
      <c r="U39" s="1">
        <v>1.2384259259259345E-3</v>
      </c>
      <c r="V39" s="1">
        <v>4.8726851851852437E-3</v>
      </c>
      <c r="W39" s="1">
        <v>2.4074074074074137E-3</v>
      </c>
      <c r="X39" s="1">
        <v>7.4768518518518734E-3</v>
      </c>
      <c r="Y39" s="1">
        <v>1.2523148148148144E-2</v>
      </c>
      <c r="Z39" s="1">
        <v>1.3993055555555522E-2</v>
      </c>
    </row>
    <row r="40" spans="1:26" x14ac:dyDescent="0.25">
      <c r="A40">
        <v>2</v>
      </c>
      <c r="B40" t="s">
        <v>14</v>
      </c>
      <c r="C40" t="s">
        <v>28</v>
      </c>
      <c r="D40">
        <v>2005</v>
      </c>
      <c r="E40" s="1">
        <v>0.75335648148148149</v>
      </c>
      <c r="F40" s="1">
        <v>0.75387731481481479</v>
      </c>
      <c r="G40" s="1">
        <v>0.76121527777777775</v>
      </c>
      <c r="H40" s="1">
        <v>0.76402777777777775</v>
      </c>
      <c r="I40" s="1">
        <v>0.76181712962962966</v>
      </c>
      <c r="J40" s="1">
        <v>0.76675925925925925</v>
      </c>
      <c r="K40" s="1">
        <v>0.76984953703703707</v>
      </c>
      <c r="L40" s="1">
        <v>0.77049768518518513</v>
      </c>
      <c r="M40" s="1">
        <v>0.77114583333333331</v>
      </c>
      <c r="N40" s="1" t="s">
        <v>54</v>
      </c>
      <c r="O40" s="1" t="s">
        <v>33</v>
      </c>
      <c r="P40" s="1" t="s">
        <v>169</v>
      </c>
      <c r="S40" s="1">
        <v>5.2083333333330373E-4</v>
      </c>
      <c r="T40" s="1">
        <v>7.3379629629629628E-3</v>
      </c>
      <c r="U40" s="1">
        <v>6.0185185185190893E-4</v>
      </c>
      <c r="V40" s="1">
        <v>2.8124999999999956E-3</v>
      </c>
      <c r="W40" s="1">
        <v>2.7314814814815014E-3</v>
      </c>
      <c r="X40" s="1">
        <v>8.0324074074074048E-3</v>
      </c>
      <c r="Y40" s="1">
        <v>9.2824074074073781E-3</v>
      </c>
      <c r="Z40" s="1">
        <v>1.778935185185182E-2</v>
      </c>
    </row>
    <row r="41" spans="1:26" x14ac:dyDescent="0.25">
      <c r="A41">
        <v>1</v>
      </c>
      <c r="B41" t="s">
        <v>15</v>
      </c>
      <c r="C41" t="s">
        <v>430</v>
      </c>
      <c r="D41">
        <v>2003</v>
      </c>
      <c r="E41" s="1">
        <v>0.43129629629629629</v>
      </c>
      <c r="F41" s="1">
        <v>0.43155092592592592</v>
      </c>
      <c r="G41" s="1">
        <v>0.43281249999999999</v>
      </c>
      <c r="H41" s="1">
        <v>0.43494212962962964</v>
      </c>
      <c r="I41" s="1">
        <v>0.43346064814814816</v>
      </c>
      <c r="J41" s="1">
        <v>0.4357638888888889</v>
      </c>
      <c r="K41" s="1">
        <v>0.43863425925925925</v>
      </c>
      <c r="L41" s="1">
        <v>0.43896990740740743</v>
      </c>
      <c r="M41" s="1">
        <v>0.43958333333333333</v>
      </c>
      <c r="N41" s="1" t="s">
        <v>54</v>
      </c>
      <c r="O41" s="1" t="s">
        <v>34</v>
      </c>
      <c r="P41" s="1" t="s">
        <v>169</v>
      </c>
      <c r="S41" s="1">
        <v>2.5462962962963243E-4</v>
      </c>
      <c r="T41" s="1">
        <v>1.2615740740740677E-3</v>
      </c>
      <c r="U41" s="1">
        <v>6.4814814814817545E-4</v>
      </c>
      <c r="V41" s="1">
        <v>2.129629629629648E-3</v>
      </c>
      <c r="W41" s="1">
        <v>8.2175925925925819E-4</v>
      </c>
      <c r="X41" s="1">
        <v>5.1736111111110872E-3</v>
      </c>
      <c r="Y41" s="1">
        <v>6.1574074074074447E-3</v>
      </c>
      <c r="Z41" s="1">
        <v>8.2870370370370372E-3</v>
      </c>
    </row>
    <row r="42" spans="1:26" x14ac:dyDescent="0.25">
      <c r="A42">
        <v>3</v>
      </c>
      <c r="B42" t="s">
        <v>515</v>
      </c>
      <c r="C42" t="s">
        <v>516</v>
      </c>
      <c r="D42">
        <v>2017</v>
      </c>
      <c r="E42" s="1">
        <v>0.47905092592592591</v>
      </c>
      <c r="F42" s="1">
        <v>0.47928240740740741</v>
      </c>
      <c r="G42" s="1">
        <v>0.48018518518518516</v>
      </c>
      <c r="H42" s="1">
        <v>0.48334490740740743</v>
      </c>
      <c r="I42" s="1">
        <v>0.48133101851851851</v>
      </c>
      <c r="J42" s="1">
        <v>0.48431712962962964</v>
      </c>
      <c r="K42" s="1">
        <v>0.48774305555555558</v>
      </c>
      <c r="L42" s="1">
        <v>0.4891550925925926</v>
      </c>
      <c r="M42" s="1">
        <v>0.49053240740740739</v>
      </c>
      <c r="N42" s="1" t="s">
        <v>54</v>
      </c>
      <c r="O42" s="1" t="s">
        <v>33</v>
      </c>
      <c r="P42" s="1" t="s">
        <v>169</v>
      </c>
      <c r="S42" s="1">
        <v>2.3148148148149916E-4</v>
      </c>
      <c r="T42" s="1">
        <v>9.0277777777775237E-4</v>
      </c>
      <c r="U42" s="1">
        <v>1.1458333333333459E-3</v>
      </c>
      <c r="V42" s="1">
        <v>3.1597222222222721E-3</v>
      </c>
      <c r="W42" s="1">
        <v>9.7222222222220767E-4</v>
      </c>
      <c r="X42" s="1">
        <v>6.4120370370370772E-3</v>
      </c>
      <c r="Y42" s="1">
        <v>8.9699074074074403E-3</v>
      </c>
      <c r="Z42" s="1">
        <v>1.1481481481481481E-2</v>
      </c>
    </row>
    <row r="43" spans="1:26" x14ac:dyDescent="0.25">
      <c r="A43">
        <v>2</v>
      </c>
      <c r="B43" t="s">
        <v>15</v>
      </c>
      <c r="C43" t="s">
        <v>430</v>
      </c>
      <c r="D43">
        <v>2006</v>
      </c>
      <c r="E43" s="1">
        <v>0.51822916666666663</v>
      </c>
      <c r="F43" s="1">
        <v>0.51858796296296295</v>
      </c>
      <c r="G43" s="1">
        <v>0.52069444444444446</v>
      </c>
      <c r="H43" s="1">
        <v>0.52375000000000005</v>
      </c>
      <c r="I43" s="1">
        <v>0.52194444444444443</v>
      </c>
      <c r="J43" s="1">
        <v>0.52563657407407405</v>
      </c>
      <c r="K43" s="1">
        <v>0.5337615740740741</v>
      </c>
      <c r="L43" s="1">
        <v>0.53462962962962968</v>
      </c>
      <c r="M43" s="1">
        <v>0.53775462962962961</v>
      </c>
      <c r="N43" s="1" t="s">
        <v>54</v>
      </c>
      <c r="O43" s="1" t="s">
        <v>34</v>
      </c>
      <c r="P43" s="1" t="s">
        <v>169</v>
      </c>
      <c r="S43" s="1">
        <v>3.5879629629631538E-4</v>
      </c>
      <c r="T43" s="1">
        <v>2.1064814814815147E-3</v>
      </c>
      <c r="U43" s="1">
        <v>1.2499999999999734E-3</v>
      </c>
      <c r="V43" s="1">
        <v>3.0555555555555891E-3</v>
      </c>
      <c r="W43" s="1">
        <v>1.8865740740739989E-3</v>
      </c>
      <c r="X43" s="1">
        <v>1.1817129629629664E-2</v>
      </c>
      <c r="Y43" s="1">
        <v>1.3935185185185217E-2</v>
      </c>
      <c r="Z43" s="1">
        <v>1.9525462962962981E-2</v>
      </c>
    </row>
    <row r="44" spans="1:26" x14ac:dyDescent="0.25">
      <c r="A44">
        <v>4</v>
      </c>
      <c r="B44" t="s">
        <v>14</v>
      </c>
      <c r="C44" t="s">
        <v>395</v>
      </c>
      <c r="D44">
        <v>2020</v>
      </c>
      <c r="E44" s="1">
        <v>0.54162037037037036</v>
      </c>
      <c r="F44" s="1">
        <v>0.54182870370370373</v>
      </c>
      <c r="G44" s="1">
        <v>0.54776620370370366</v>
      </c>
      <c r="H44" s="1">
        <v>0.55399305555555556</v>
      </c>
      <c r="I44" s="1">
        <v>0.55000000000000004</v>
      </c>
      <c r="J44" s="1">
        <v>0.55630787037037033</v>
      </c>
      <c r="K44" s="1">
        <v>0.56013888888888885</v>
      </c>
      <c r="L44" s="1">
        <v>0.56157407407407411</v>
      </c>
      <c r="M44" s="1">
        <v>0.56292824074074077</v>
      </c>
      <c r="N44" s="1" t="s">
        <v>343</v>
      </c>
      <c r="O44" s="1" t="s">
        <v>34</v>
      </c>
      <c r="P44" s="1" t="s">
        <v>169</v>
      </c>
      <c r="S44" s="1">
        <v>2.083333333333659E-4</v>
      </c>
      <c r="T44" s="1">
        <v>5.9374999999999289E-3</v>
      </c>
      <c r="U44" s="1">
        <v>2.2337962962963864E-3</v>
      </c>
      <c r="V44" s="1">
        <v>6.2268518518519E-3</v>
      </c>
      <c r="W44" s="1">
        <v>2.3148148148147696E-3</v>
      </c>
      <c r="X44" s="1">
        <v>1.0138888888888808E-2</v>
      </c>
      <c r="Y44" s="1">
        <v>1.3807870370370456E-2</v>
      </c>
      <c r="Z44" s="1">
        <v>2.1307870370370408E-2</v>
      </c>
    </row>
    <row r="45" spans="1:26" x14ac:dyDescent="0.25">
      <c r="A45">
        <v>2</v>
      </c>
      <c r="B45" t="s">
        <v>12</v>
      </c>
      <c r="C45" t="s">
        <v>424</v>
      </c>
      <c r="D45">
        <v>2019</v>
      </c>
      <c r="E45" s="1">
        <v>0.56993055555555561</v>
      </c>
      <c r="F45" s="1">
        <v>0.57020833333333332</v>
      </c>
      <c r="G45" s="1">
        <v>0.57098379629629625</v>
      </c>
      <c r="H45" s="1">
        <v>0.57383101851851848</v>
      </c>
      <c r="I45" s="1">
        <v>0.57239583333333333</v>
      </c>
      <c r="J45" s="1">
        <v>0.57597222222222222</v>
      </c>
      <c r="K45" s="1">
        <v>0.58101851851851849</v>
      </c>
      <c r="L45" s="1">
        <v>0.58390046296296294</v>
      </c>
      <c r="M45" s="1">
        <v>0.58496527777777774</v>
      </c>
      <c r="N45" s="1" t="s">
        <v>54</v>
      </c>
      <c r="O45" s="1" t="s">
        <v>36</v>
      </c>
      <c r="P45" s="1" t="s">
        <v>169</v>
      </c>
      <c r="S45" s="1">
        <v>2.7777777777771018E-4</v>
      </c>
      <c r="T45" s="1">
        <v>7.7546296296293615E-4</v>
      </c>
      <c r="U45" s="1">
        <v>1.4120370370370727E-3</v>
      </c>
      <c r="V45" s="1">
        <v>2.8472222222222232E-3</v>
      </c>
      <c r="W45" s="1">
        <v>2.1412037037037424E-3</v>
      </c>
      <c r="X45" s="1">
        <v>8.6226851851851638E-3</v>
      </c>
      <c r="Y45" s="1">
        <v>1.2916666666666687E-2</v>
      </c>
      <c r="Z45" s="1">
        <v>1.503472222222213E-2</v>
      </c>
    </row>
    <row r="46" spans="1:26" x14ac:dyDescent="0.25">
      <c r="A46">
        <v>3</v>
      </c>
      <c r="B46" t="s">
        <v>14</v>
      </c>
      <c r="C46" t="s">
        <v>465</v>
      </c>
      <c r="D46">
        <v>2009</v>
      </c>
      <c r="E46" s="1">
        <v>0.57567129629629632</v>
      </c>
      <c r="F46" s="1">
        <v>0.57584490740740746</v>
      </c>
      <c r="G46" s="1">
        <v>0.57697916666666671</v>
      </c>
      <c r="H46" s="1">
        <v>0.58027777777777778</v>
      </c>
      <c r="I46" s="1">
        <v>0.57850694444444439</v>
      </c>
      <c r="J46" s="1">
        <v>0.58268518518518519</v>
      </c>
      <c r="K46" s="1">
        <v>0.58579861111111109</v>
      </c>
      <c r="L46" s="1">
        <v>0.58740740740740738</v>
      </c>
      <c r="M46" s="1">
        <v>0.58848379629629632</v>
      </c>
      <c r="N46" s="1" t="s">
        <v>524</v>
      </c>
      <c r="O46" s="1" t="s">
        <v>33</v>
      </c>
      <c r="P46" s="1" t="s">
        <v>169</v>
      </c>
      <c r="S46" s="1">
        <v>1.7361111111113825E-4</v>
      </c>
      <c r="T46" s="1">
        <v>1.1342592592592515E-3</v>
      </c>
      <c r="U46" s="1">
        <v>1.5277777777776835E-3</v>
      </c>
      <c r="V46" s="1">
        <v>3.2986111111110716E-3</v>
      </c>
      <c r="W46" s="1">
        <v>2.4074074074074137E-3</v>
      </c>
      <c r="X46" s="1">
        <v>7.2916666666666963E-3</v>
      </c>
      <c r="Y46" s="1">
        <v>1.0428240740740669E-2</v>
      </c>
      <c r="Z46" s="1">
        <v>1.2812500000000004E-2</v>
      </c>
    </row>
    <row r="47" spans="1:26" x14ac:dyDescent="0.25">
      <c r="A47">
        <v>1</v>
      </c>
      <c r="B47" t="s">
        <v>15</v>
      </c>
      <c r="C47" t="s">
        <v>502</v>
      </c>
      <c r="D47">
        <v>2014</v>
      </c>
      <c r="E47" s="1">
        <v>0.64729166666666671</v>
      </c>
      <c r="F47" s="1">
        <v>0.64746527777777774</v>
      </c>
      <c r="G47" s="1">
        <v>0.64855324074074072</v>
      </c>
      <c r="H47" s="1">
        <v>0.65011574074074074</v>
      </c>
      <c r="I47" s="1">
        <v>0.64916666666666667</v>
      </c>
      <c r="J47" s="1">
        <v>0.65300925925925923</v>
      </c>
      <c r="K47" s="1">
        <v>0.66449074074074077</v>
      </c>
      <c r="L47" s="1">
        <v>0.66502314814814811</v>
      </c>
      <c r="M47" s="1">
        <v>0.6662731481481482</v>
      </c>
      <c r="N47" s="1" t="s">
        <v>532</v>
      </c>
      <c r="O47" s="1" t="s">
        <v>33</v>
      </c>
      <c r="P47" s="1" t="s">
        <v>169</v>
      </c>
      <c r="S47" s="1">
        <v>1.7361111111102723E-4</v>
      </c>
      <c r="T47" s="1">
        <v>1.087962962962985E-3</v>
      </c>
      <c r="U47" s="1">
        <v>6.134259259259478E-4</v>
      </c>
      <c r="V47" s="1">
        <v>1.5625000000000222E-3</v>
      </c>
      <c r="W47" s="1">
        <v>2.8935185185184897E-3</v>
      </c>
      <c r="X47" s="1">
        <v>1.5324074074074101E-2</v>
      </c>
      <c r="Y47" s="1">
        <v>1.6469907407407391E-2</v>
      </c>
      <c r="Z47" s="1">
        <v>1.8981481481481488E-2</v>
      </c>
    </row>
    <row r="48" spans="1:26" x14ac:dyDescent="0.25">
      <c r="A48">
        <v>3</v>
      </c>
      <c r="B48" t="s">
        <v>14</v>
      </c>
      <c r="C48" t="s">
        <v>533</v>
      </c>
      <c r="D48">
        <v>2012</v>
      </c>
      <c r="E48" s="1">
        <v>0.66054398148148152</v>
      </c>
      <c r="F48" s="1">
        <v>0.66081018518518519</v>
      </c>
      <c r="G48" s="1">
        <v>0.66170138888888885</v>
      </c>
      <c r="H48" s="1">
        <v>0.66593749999999996</v>
      </c>
      <c r="I48" s="1">
        <v>0.66370370370370368</v>
      </c>
      <c r="J48" s="1">
        <v>0.66744212962962968</v>
      </c>
      <c r="K48" s="1">
        <v>0.6711111111111111</v>
      </c>
      <c r="L48" s="1">
        <v>0.67218750000000005</v>
      </c>
      <c r="M48" s="1">
        <v>0.67343750000000002</v>
      </c>
      <c r="N48" s="1" t="s">
        <v>534</v>
      </c>
      <c r="O48" s="1" t="s">
        <v>36</v>
      </c>
      <c r="P48" s="1" t="s">
        <v>169</v>
      </c>
      <c r="S48" s="1">
        <v>2.662037037036713E-4</v>
      </c>
      <c r="T48" s="1">
        <v>8.9120370370365798E-4</v>
      </c>
      <c r="U48" s="1">
        <v>2.0023148148148318E-3</v>
      </c>
      <c r="V48" s="1">
        <v>4.2361111111111072E-3</v>
      </c>
      <c r="W48" s="1">
        <v>1.5046296296297168E-3</v>
      </c>
      <c r="X48" s="1">
        <v>7.4074074074074181E-3</v>
      </c>
      <c r="Y48" s="1">
        <v>1.0486111111111196E-2</v>
      </c>
      <c r="Z48" s="1">
        <v>1.2893518518518499E-2</v>
      </c>
    </row>
    <row r="49" spans="1:26" x14ac:dyDescent="0.25">
      <c r="A49">
        <v>1</v>
      </c>
      <c r="B49" t="s">
        <v>12</v>
      </c>
      <c r="C49" t="s">
        <v>535</v>
      </c>
      <c r="D49">
        <v>2017</v>
      </c>
      <c r="E49" s="1">
        <v>0.67833333333333334</v>
      </c>
      <c r="F49" s="1">
        <v>0.67853009259259256</v>
      </c>
      <c r="G49" s="1">
        <v>0.68012731481481481</v>
      </c>
      <c r="H49" s="1">
        <v>0.68181712962962959</v>
      </c>
      <c r="I49" s="1">
        <v>0.68076388888888884</v>
      </c>
      <c r="J49" s="1">
        <v>0.68407407407407406</v>
      </c>
      <c r="K49" s="1">
        <v>0.68656249999999996</v>
      </c>
      <c r="L49" s="1">
        <v>0.68693287037037032</v>
      </c>
      <c r="M49" s="1">
        <v>0.68800925925925926</v>
      </c>
      <c r="N49" s="1" t="s">
        <v>534</v>
      </c>
      <c r="O49" s="1" t="s">
        <v>33</v>
      </c>
      <c r="P49" s="1" t="s">
        <v>169</v>
      </c>
      <c r="S49" s="1">
        <v>1.96759259259216E-4</v>
      </c>
      <c r="T49" s="1">
        <v>1.5972222222222499E-3</v>
      </c>
      <c r="U49" s="1">
        <v>6.3657407407402555E-4</v>
      </c>
      <c r="V49" s="1">
        <v>1.6898148148147829E-3</v>
      </c>
      <c r="W49" s="1">
        <v>2.2569444444444642E-3</v>
      </c>
      <c r="X49" s="1">
        <v>5.7986111111111294E-3</v>
      </c>
      <c r="Y49" s="1">
        <v>6.8055555555555092E-3</v>
      </c>
      <c r="Z49" s="1">
        <v>9.6759259259259212E-3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E092-D064-4EDF-A831-E013CB2EE8B8}">
  <dimension ref="A1:Z7"/>
  <sheetViews>
    <sheetView workbookViewId="0">
      <selection sqref="A1:Z1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43</v>
      </c>
      <c r="N1" s="1" t="s">
        <v>44</v>
      </c>
      <c r="O1" s="1" t="s">
        <v>45</v>
      </c>
      <c r="P1" s="1" t="s">
        <v>46</v>
      </c>
      <c r="S1" s="1" t="s">
        <v>539</v>
      </c>
      <c r="T1" s="1" t="s">
        <v>540</v>
      </c>
      <c r="U1" s="1" t="s">
        <v>538</v>
      </c>
      <c r="V1" s="1" t="s">
        <v>541</v>
      </c>
      <c r="W1" s="1" t="s">
        <v>544</v>
      </c>
      <c r="X1" s="1" t="s">
        <v>542</v>
      </c>
      <c r="Y1" s="1" t="s">
        <v>545</v>
      </c>
      <c r="Z1" s="1" t="s">
        <v>543</v>
      </c>
    </row>
    <row r="2" spans="1:26" x14ac:dyDescent="0.25">
      <c r="A2">
        <v>4</v>
      </c>
      <c r="B2" t="s">
        <v>376</v>
      </c>
      <c r="C2" t="s">
        <v>377</v>
      </c>
      <c r="D2">
        <v>2012</v>
      </c>
      <c r="E2" s="1">
        <v>0.50850694444444444</v>
      </c>
      <c r="F2" s="1">
        <v>0.50914351851851847</v>
      </c>
      <c r="G2" s="1">
        <v>0.52592592592592591</v>
      </c>
      <c r="H2" s="1">
        <v>0.53317129629629634</v>
      </c>
      <c r="I2" s="1">
        <v>0.52798611111111116</v>
      </c>
      <c r="J2" s="1">
        <v>0.53591435185185188</v>
      </c>
      <c r="K2" s="1">
        <v>0.5393634259259259</v>
      </c>
      <c r="L2" s="1">
        <v>0.54465277777777776</v>
      </c>
      <c r="M2" s="1">
        <v>0.54501157407407408</v>
      </c>
      <c r="N2" s="1" t="s">
        <v>378</v>
      </c>
      <c r="O2" s="1" t="s">
        <v>34</v>
      </c>
      <c r="P2" s="1" t="s">
        <v>379</v>
      </c>
      <c r="S2" s="1">
        <v>6.3657407407402555E-4</v>
      </c>
      <c r="T2" s="1">
        <v>1.678240740740744E-2</v>
      </c>
      <c r="U2" s="1">
        <v>2.0601851851852482E-3</v>
      </c>
      <c r="V2" s="1">
        <v>7.2453703703704297E-3</v>
      </c>
      <c r="W2" s="1">
        <v>2.7430555555555403E-3</v>
      </c>
      <c r="X2" s="1">
        <v>1.1377314814814743E-2</v>
      </c>
      <c r="Y2" s="1">
        <v>1.8726851851851856E-2</v>
      </c>
      <c r="Z2" s="1">
        <v>3.6504629629629637E-2</v>
      </c>
    </row>
    <row r="3" spans="1:26" x14ac:dyDescent="0.25">
      <c r="A3">
        <v>2</v>
      </c>
      <c r="B3" t="s">
        <v>387</v>
      </c>
      <c r="C3" t="s">
        <v>388</v>
      </c>
      <c r="D3">
        <v>2020</v>
      </c>
      <c r="E3" s="1">
        <v>0.5988310185185185</v>
      </c>
      <c r="F3" s="1">
        <v>0.59931712962962957</v>
      </c>
      <c r="G3" s="1">
        <v>0.60017361111111112</v>
      </c>
      <c r="H3" s="1">
        <v>0.60405092592592591</v>
      </c>
      <c r="I3" s="1">
        <v>0.60103009259259255</v>
      </c>
      <c r="J3" s="1">
        <v>0.6058217592592593</v>
      </c>
      <c r="K3" s="1">
        <v>0.61344907407407412</v>
      </c>
      <c r="L3" s="1">
        <v>0.61828703703703702</v>
      </c>
      <c r="M3" s="1">
        <v>0.61890046296296297</v>
      </c>
      <c r="N3" s="1" t="s">
        <v>389</v>
      </c>
      <c r="O3" s="1" t="s">
        <v>34</v>
      </c>
      <c r="P3" s="1" t="s">
        <v>379</v>
      </c>
      <c r="S3" s="1">
        <v>4.8611111111107608E-4</v>
      </c>
      <c r="T3" s="1">
        <v>8.5648148148154135E-4</v>
      </c>
      <c r="U3" s="1">
        <v>8.5648148148143033E-4</v>
      </c>
      <c r="V3" s="1">
        <v>3.8773148148147918E-3</v>
      </c>
      <c r="W3" s="1">
        <v>1.7708333333333881E-3</v>
      </c>
      <c r="X3" s="1">
        <v>1.2418981481481572E-2</v>
      </c>
      <c r="Y3" s="1">
        <v>1.8113425925925908E-2</v>
      </c>
      <c r="Z3" s="1">
        <v>2.0069444444444473E-2</v>
      </c>
    </row>
    <row r="4" spans="1:26" x14ac:dyDescent="0.25">
      <c r="A4">
        <v>4</v>
      </c>
      <c r="B4" t="s">
        <v>469</v>
      </c>
      <c r="C4" t="s">
        <v>388</v>
      </c>
      <c r="D4">
        <v>2019</v>
      </c>
      <c r="E4" s="1">
        <v>0.61971064814814814</v>
      </c>
      <c r="F4" s="1">
        <v>0.62048611111111107</v>
      </c>
      <c r="G4" s="1">
        <v>0.63166666666666671</v>
      </c>
      <c r="H4" s="1">
        <v>0.64087962962962963</v>
      </c>
      <c r="I4" s="1">
        <v>0.63261574074074078</v>
      </c>
      <c r="J4" s="1">
        <v>0.64425925925925931</v>
      </c>
      <c r="K4" s="1">
        <v>0.64790509259259255</v>
      </c>
      <c r="L4" s="1">
        <v>0.65135416666666668</v>
      </c>
      <c r="M4" s="1">
        <v>0.65202546296296293</v>
      </c>
      <c r="N4" s="1" t="s">
        <v>470</v>
      </c>
      <c r="O4" s="1" t="s">
        <v>34</v>
      </c>
      <c r="P4" s="1" t="s">
        <v>379</v>
      </c>
      <c r="S4" s="1">
        <v>7.7546296296293615E-4</v>
      </c>
      <c r="T4" s="1">
        <v>1.1180555555555638E-2</v>
      </c>
      <c r="U4" s="1">
        <v>9.490740740740744E-4</v>
      </c>
      <c r="V4" s="1">
        <v>9.2129629629629228E-3</v>
      </c>
      <c r="W4" s="1">
        <v>3.3796296296296768E-3</v>
      </c>
      <c r="X4" s="1">
        <v>1.5289351851851762E-2</v>
      </c>
      <c r="Y4" s="1">
        <v>1.9687499999999969E-2</v>
      </c>
      <c r="Z4" s="1">
        <v>3.2314814814814796E-2</v>
      </c>
    </row>
    <row r="5" spans="1:26" x14ac:dyDescent="0.25">
      <c r="A5">
        <v>1</v>
      </c>
      <c r="B5" t="s">
        <v>387</v>
      </c>
      <c r="C5" t="s">
        <v>501</v>
      </c>
      <c r="D5">
        <v>2020</v>
      </c>
      <c r="E5" s="1">
        <v>0.58799768518518514</v>
      </c>
      <c r="F5" s="1">
        <v>0.5882060185185185</v>
      </c>
      <c r="G5" s="1">
        <v>0.58878472222222222</v>
      </c>
      <c r="H5" s="1">
        <v>0.59087962962962959</v>
      </c>
      <c r="I5" s="1">
        <v>0.58945601851851848</v>
      </c>
      <c r="J5" s="1">
        <v>0.5926851851851852</v>
      </c>
      <c r="K5" s="1">
        <v>0.59621527777777783</v>
      </c>
      <c r="L5" s="1">
        <v>0.60056712962962966</v>
      </c>
      <c r="M5" s="1">
        <v>0.60196759259259258</v>
      </c>
      <c r="N5" s="1" t="s">
        <v>291</v>
      </c>
      <c r="O5" s="1" t="s">
        <v>33</v>
      </c>
      <c r="P5" s="1" t="s">
        <v>379</v>
      </c>
      <c r="S5" s="1">
        <v>2.083333333333659E-4</v>
      </c>
      <c r="T5" s="1">
        <v>5.7870370370372015E-4</v>
      </c>
      <c r="U5" s="1">
        <v>6.712962962962532E-4</v>
      </c>
      <c r="V5" s="1">
        <v>2.0949074074073648E-3</v>
      </c>
      <c r="W5" s="1">
        <v>1.8055555555556158E-3</v>
      </c>
      <c r="X5" s="1">
        <v>6.7592592592593537E-3</v>
      </c>
      <c r="Y5" s="1">
        <v>1.1782407407407436E-2</v>
      </c>
      <c r="Z5" s="1">
        <v>1.3969907407407445E-2</v>
      </c>
    </row>
    <row r="6" spans="1:26" x14ac:dyDescent="0.25">
      <c r="A6">
        <v>3</v>
      </c>
      <c r="B6" t="s">
        <v>376</v>
      </c>
      <c r="C6" t="s">
        <v>520</v>
      </c>
      <c r="D6">
        <v>2019</v>
      </c>
      <c r="E6" s="1">
        <v>0.51172453703703702</v>
      </c>
      <c r="F6" s="1">
        <v>0.51199074074074069</v>
      </c>
      <c r="G6" s="1">
        <v>0.51275462962962959</v>
      </c>
      <c r="H6" s="1">
        <v>0.5174305555555555</v>
      </c>
      <c r="I6" s="1">
        <v>0.51355324074074071</v>
      </c>
      <c r="J6" s="1">
        <v>0.51921296296296293</v>
      </c>
      <c r="K6" s="1">
        <v>0.5277546296296296</v>
      </c>
      <c r="L6" s="1">
        <v>0.5285185185185185</v>
      </c>
      <c r="M6" s="1">
        <v>0.53144675925925922</v>
      </c>
      <c r="N6" s="1" t="s">
        <v>54</v>
      </c>
      <c r="O6" s="1" t="s">
        <v>33</v>
      </c>
      <c r="P6" s="1" t="s">
        <v>379</v>
      </c>
      <c r="S6" s="1">
        <v>2.662037037036713E-4</v>
      </c>
      <c r="T6" s="1">
        <v>7.6388888888889728E-4</v>
      </c>
      <c r="U6" s="1">
        <v>7.9861111111112493E-4</v>
      </c>
      <c r="V6" s="1">
        <v>4.6759259259259167E-3</v>
      </c>
      <c r="W6" s="1">
        <v>1.782407407407427E-3</v>
      </c>
      <c r="X6" s="1">
        <v>1.4201388888888888E-2</v>
      </c>
      <c r="Y6" s="1">
        <v>1.5763888888888911E-2</v>
      </c>
      <c r="Z6" s="1">
        <v>1.9722222222222197E-2</v>
      </c>
    </row>
    <row r="7" spans="1:26" x14ac:dyDescent="0.25">
      <c r="A7">
        <v>1</v>
      </c>
      <c r="B7" t="s">
        <v>469</v>
      </c>
      <c r="C7" t="s">
        <v>501</v>
      </c>
      <c r="D7">
        <v>2016</v>
      </c>
      <c r="E7" s="1">
        <v>0.76983796296296292</v>
      </c>
      <c r="F7" s="1">
        <v>0.7699421296296296</v>
      </c>
      <c r="G7" s="1">
        <v>0.77046296296296302</v>
      </c>
      <c r="H7" s="1">
        <v>0.77254629629629634</v>
      </c>
      <c r="I7" s="1">
        <v>0.77109953703703704</v>
      </c>
      <c r="J7" s="1">
        <v>0.77370370370370367</v>
      </c>
      <c r="K7" s="1">
        <v>0.77888888888888885</v>
      </c>
      <c r="L7" s="1">
        <v>0.7805671296296296</v>
      </c>
      <c r="M7" s="1">
        <v>0.78138888888888891</v>
      </c>
      <c r="N7" s="1" t="s">
        <v>537</v>
      </c>
      <c r="O7" s="1" t="s">
        <v>33</v>
      </c>
      <c r="P7" s="1" t="s">
        <v>379</v>
      </c>
      <c r="S7" s="1">
        <v>1.0416666666668295E-4</v>
      </c>
      <c r="T7" s="1">
        <v>5.2083333333341475E-4</v>
      </c>
      <c r="U7" s="1">
        <v>6.3657407407402555E-4</v>
      </c>
      <c r="V7" s="1">
        <v>2.0833333333333259E-3</v>
      </c>
      <c r="W7" s="1">
        <v>1.1574074074073293E-3</v>
      </c>
      <c r="X7" s="1">
        <v>7.7893518518518112E-3</v>
      </c>
      <c r="Y7" s="1">
        <v>1.0104166666666581E-2</v>
      </c>
      <c r="Z7" s="1">
        <v>1.1550925925925992E-2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B2905-185D-41AC-9635-F48E80FD6CB3}">
  <dimension ref="A1:Z53"/>
  <sheetViews>
    <sheetView workbookViewId="0">
      <selection activeCell="Z1" activeCellId="1" sqref="O1:O1048576 Z1:Z1048576"/>
    </sheetView>
  </sheetViews>
  <sheetFormatPr defaultRowHeight="15" x14ac:dyDescent="0.25"/>
  <cols>
    <col min="24" max="24" width="15.5703125" customWidth="1"/>
    <col min="26" max="26" width="18.425781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43</v>
      </c>
      <c r="N1" s="1" t="s">
        <v>44</v>
      </c>
      <c r="O1" s="1" t="s">
        <v>45</v>
      </c>
      <c r="P1" s="1" t="s">
        <v>46</v>
      </c>
      <c r="S1" s="1" t="s">
        <v>539</v>
      </c>
      <c r="T1" s="1" t="s">
        <v>540</v>
      </c>
      <c r="U1" s="1" t="s">
        <v>538</v>
      </c>
      <c r="V1" s="1" t="s">
        <v>541</v>
      </c>
      <c r="W1" s="1" t="s">
        <v>544</v>
      </c>
      <c r="X1" s="1" t="s">
        <v>542</v>
      </c>
      <c r="Y1" s="1" t="s">
        <v>545</v>
      </c>
      <c r="Z1" s="1" t="s">
        <v>543</v>
      </c>
    </row>
    <row r="2" spans="1:26" x14ac:dyDescent="0.25">
      <c r="A2">
        <v>2</v>
      </c>
      <c r="B2" t="s">
        <v>8</v>
      </c>
      <c r="C2" t="s">
        <v>17</v>
      </c>
      <c r="D2">
        <v>2016</v>
      </c>
      <c r="E2" s="1">
        <v>0.59635416666666663</v>
      </c>
      <c r="F2" s="1" t="s">
        <v>47</v>
      </c>
      <c r="G2" s="1">
        <v>0.59751157407407407</v>
      </c>
      <c r="H2" s="1" t="s">
        <v>49</v>
      </c>
      <c r="I2" s="1" t="s">
        <v>48</v>
      </c>
      <c r="J2" s="1" t="s">
        <v>50</v>
      </c>
      <c r="K2" s="1" t="s">
        <v>51</v>
      </c>
      <c r="L2" s="1" t="s">
        <v>52</v>
      </c>
      <c r="M2" s="1" t="s">
        <v>53</v>
      </c>
      <c r="N2" s="1" t="s">
        <v>54</v>
      </c>
      <c r="O2" s="1" t="s">
        <v>33</v>
      </c>
      <c r="P2" s="1" t="s">
        <v>55</v>
      </c>
      <c r="S2" s="1">
        <v>2.8935185185186008E-4</v>
      </c>
      <c r="T2" s="1">
        <v>8.6805555555558023E-4</v>
      </c>
      <c r="U2" s="1">
        <v>1.4467592592593004E-3</v>
      </c>
      <c r="V2" s="1">
        <v>3.8194444444444864E-3</v>
      </c>
      <c r="W2" s="1">
        <v>1.6203703703703276E-3</v>
      </c>
      <c r="X2" s="1">
        <v>6.6550925925925597E-3</v>
      </c>
      <c r="Y2" s="1">
        <v>8.5995370370370861E-3</v>
      </c>
      <c r="Z2" s="1">
        <v>1.0115740740740731E-2</v>
      </c>
    </row>
    <row r="3" spans="1:26" x14ac:dyDescent="0.25">
      <c r="A3">
        <v>4</v>
      </c>
      <c r="B3" t="s">
        <v>56</v>
      </c>
      <c r="C3" t="s">
        <v>37</v>
      </c>
      <c r="D3">
        <v>2006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33</v>
      </c>
      <c r="P3" s="1" t="s">
        <v>55</v>
      </c>
      <c r="S3" s="1">
        <v>1.7361111111113825E-4</v>
      </c>
      <c r="T3" s="1">
        <v>1.388888888888884E-3</v>
      </c>
      <c r="U3" s="1">
        <v>1.0532407407407574E-3</v>
      </c>
      <c r="V3" s="1">
        <v>2.1527777777777812E-3</v>
      </c>
      <c r="W3" s="1">
        <v>2.6851851851851238E-3</v>
      </c>
      <c r="X3" s="1">
        <v>8.8310185185185297E-3</v>
      </c>
      <c r="Y3" s="1">
        <v>1.0208333333333333E-2</v>
      </c>
      <c r="Z3" s="1">
        <v>1.2928240740740726E-2</v>
      </c>
    </row>
    <row r="4" spans="1:26" x14ac:dyDescent="0.25">
      <c r="A4">
        <v>2</v>
      </c>
      <c r="B4" t="s">
        <v>8</v>
      </c>
      <c r="C4" t="s">
        <v>22</v>
      </c>
      <c r="D4">
        <v>2017</v>
      </c>
      <c r="E4" s="1" t="s">
        <v>104</v>
      </c>
      <c r="F4" s="1" t="s">
        <v>105</v>
      </c>
      <c r="G4" s="1" t="s">
        <v>106</v>
      </c>
      <c r="H4" s="1" t="s">
        <v>107</v>
      </c>
      <c r="I4" s="1" t="s">
        <v>108</v>
      </c>
      <c r="J4" s="1" t="s">
        <v>109</v>
      </c>
      <c r="K4" s="1" t="s">
        <v>110</v>
      </c>
      <c r="L4" s="1" t="s">
        <v>111</v>
      </c>
      <c r="M4" s="1" t="s">
        <v>112</v>
      </c>
      <c r="N4" s="1" t="s">
        <v>113</v>
      </c>
      <c r="O4" s="1" t="s">
        <v>33</v>
      </c>
      <c r="P4" s="1" t="s">
        <v>55</v>
      </c>
      <c r="S4" s="1">
        <v>4.5138888888884843E-4</v>
      </c>
      <c r="T4" s="1">
        <v>1.7268518518518516E-2</v>
      </c>
      <c r="U4" s="1">
        <v>7.2916666666666963E-4</v>
      </c>
      <c r="V4" s="1">
        <v>3.1365740740740833E-3</v>
      </c>
      <c r="W4" s="1">
        <v>1.1805555555555181E-3</v>
      </c>
      <c r="X4" s="1">
        <v>1.186342592592593E-2</v>
      </c>
      <c r="Y4" s="1">
        <v>1.3101851851851865E-2</v>
      </c>
      <c r="Z4" s="1">
        <v>3.1296296296296267E-2</v>
      </c>
    </row>
    <row r="5" spans="1:26" x14ac:dyDescent="0.25">
      <c r="A5">
        <v>2</v>
      </c>
      <c r="B5" t="s">
        <v>13</v>
      </c>
      <c r="C5" t="s">
        <v>27</v>
      </c>
      <c r="D5">
        <v>2012</v>
      </c>
      <c r="E5" s="1" t="s">
        <v>170</v>
      </c>
      <c r="F5" s="1" t="s">
        <v>171</v>
      </c>
      <c r="G5" s="1" t="s">
        <v>172</v>
      </c>
      <c r="H5" s="1" t="s">
        <v>173</v>
      </c>
      <c r="I5" s="1" t="s">
        <v>174</v>
      </c>
      <c r="J5" s="1" t="s">
        <v>175</v>
      </c>
      <c r="K5" s="1" t="s">
        <v>176</v>
      </c>
      <c r="L5" s="1" t="s">
        <v>177</v>
      </c>
      <c r="M5" s="1" t="s">
        <v>178</v>
      </c>
      <c r="N5" s="1" t="s">
        <v>179</v>
      </c>
      <c r="O5" s="1" t="s">
        <v>33</v>
      </c>
      <c r="P5" s="1" t="s">
        <v>180</v>
      </c>
      <c r="S5" s="1">
        <v>7.8703703703708605E-4</v>
      </c>
      <c r="T5" s="1">
        <v>3.9351851851850972E-3</v>
      </c>
      <c r="U5" s="1">
        <v>9.0277777777780788E-4</v>
      </c>
      <c r="V5" s="1">
        <v>2.7546296296296902E-3</v>
      </c>
      <c r="W5" s="1">
        <v>1.1574074074074403E-3</v>
      </c>
      <c r="X5" s="1">
        <v>6.6898148148147873E-3</v>
      </c>
      <c r="Y5" s="1">
        <v>1.201388888888888E-2</v>
      </c>
      <c r="Z5" s="1">
        <v>1.7280092592592555E-2</v>
      </c>
    </row>
    <row r="6" spans="1:26" x14ac:dyDescent="0.25">
      <c r="A6">
        <v>1</v>
      </c>
      <c r="B6" t="s">
        <v>14</v>
      </c>
      <c r="C6" t="s">
        <v>28</v>
      </c>
      <c r="D6">
        <v>2013</v>
      </c>
      <c r="E6" s="1" t="s">
        <v>181</v>
      </c>
      <c r="F6" s="1" t="s">
        <v>182</v>
      </c>
      <c r="G6" s="1" t="s">
        <v>183</v>
      </c>
      <c r="H6" s="1" t="s">
        <v>184</v>
      </c>
      <c r="I6" s="1" t="s">
        <v>185</v>
      </c>
      <c r="J6" s="1" t="s">
        <v>186</v>
      </c>
      <c r="K6" s="1" t="s">
        <v>187</v>
      </c>
      <c r="L6" s="1" t="s">
        <v>188</v>
      </c>
      <c r="M6" s="1" t="s">
        <v>189</v>
      </c>
      <c r="N6" s="1" t="s">
        <v>54</v>
      </c>
      <c r="O6" s="1" t="s">
        <v>33</v>
      </c>
      <c r="P6" s="1" t="s">
        <v>169</v>
      </c>
      <c r="S6" s="1">
        <v>6.3657407407413658E-4</v>
      </c>
      <c r="T6" s="1">
        <v>3.0787037037036669E-3</v>
      </c>
      <c r="U6" s="1">
        <v>9.3750000000003553E-4</v>
      </c>
      <c r="V6" s="1">
        <v>2.3032407407407307E-3</v>
      </c>
      <c r="W6" s="1">
        <v>1.3657407407408062E-3</v>
      </c>
      <c r="X6" s="1">
        <v>5.5555555555555358E-3</v>
      </c>
      <c r="Y6" s="1">
        <v>6.6203703703704431E-3</v>
      </c>
      <c r="Z6" s="1">
        <v>1.2418981481481572E-2</v>
      </c>
    </row>
    <row r="7" spans="1:26" x14ac:dyDescent="0.25">
      <c r="A7">
        <v>1</v>
      </c>
      <c r="B7" t="s">
        <v>15</v>
      </c>
      <c r="C7" t="s">
        <v>29</v>
      </c>
      <c r="D7">
        <v>2009</v>
      </c>
      <c r="E7" s="1" t="s">
        <v>190</v>
      </c>
      <c r="F7" s="1" t="s">
        <v>191</v>
      </c>
      <c r="G7" s="1" t="s">
        <v>192</v>
      </c>
      <c r="H7" s="1" t="s">
        <v>193</v>
      </c>
      <c r="I7" s="1" t="s">
        <v>194</v>
      </c>
      <c r="J7" s="1" t="s">
        <v>195</v>
      </c>
      <c r="K7" s="1" t="s">
        <v>196</v>
      </c>
      <c r="L7" s="1" t="s">
        <v>197</v>
      </c>
      <c r="M7" s="1" t="s">
        <v>198</v>
      </c>
      <c r="N7" s="1" t="s">
        <v>199</v>
      </c>
      <c r="O7" s="1" t="s">
        <v>33</v>
      </c>
      <c r="P7" s="1" t="s">
        <v>169</v>
      </c>
      <c r="S7" s="1">
        <v>4.3981481481480955E-4</v>
      </c>
      <c r="T7" s="1">
        <v>3.4375000000000933E-3</v>
      </c>
      <c r="U7" s="1">
        <v>7.5231481481474738E-4</v>
      </c>
      <c r="V7" s="1">
        <v>3.76157407407407E-3</v>
      </c>
      <c r="W7" s="1">
        <v>3.1249999999999334E-3</v>
      </c>
      <c r="X7" s="1">
        <v>8.5300925925926308E-3</v>
      </c>
      <c r="Y7" s="1">
        <v>1.0381944444444402E-2</v>
      </c>
      <c r="Z7" s="1">
        <v>1.5833333333333366E-2</v>
      </c>
    </row>
    <row r="8" spans="1:26" x14ac:dyDescent="0.25">
      <c r="A8">
        <v>1</v>
      </c>
      <c r="B8" t="s">
        <v>8</v>
      </c>
      <c r="C8" t="s">
        <v>31</v>
      </c>
      <c r="D8">
        <v>2012</v>
      </c>
      <c r="E8" s="1" t="s">
        <v>209</v>
      </c>
      <c r="F8" s="1" t="s">
        <v>210</v>
      </c>
      <c r="G8" s="1" t="s">
        <v>211</v>
      </c>
      <c r="H8" s="1" t="s">
        <v>212</v>
      </c>
      <c r="I8" s="1" t="s">
        <v>213</v>
      </c>
      <c r="J8" s="1" t="s">
        <v>214</v>
      </c>
      <c r="K8" s="1" t="s">
        <v>215</v>
      </c>
      <c r="L8" s="1" t="s">
        <v>216</v>
      </c>
      <c r="M8" s="1" t="s">
        <v>217</v>
      </c>
      <c r="N8" s="1" t="s">
        <v>218</v>
      </c>
      <c r="O8" s="1" t="s">
        <v>33</v>
      </c>
      <c r="P8" s="1" t="s">
        <v>55</v>
      </c>
      <c r="S8" s="1">
        <v>4.745370370370372E-4</v>
      </c>
      <c r="T8" s="1">
        <v>7.523148148148584E-4</v>
      </c>
      <c r="U8" s="1">
        <v>6.3657407407402555E-4</v>
      </c>
      <c r="V8" s="1">
        <v>1.9907407407407929E-3</v>
      </c>
      <c r="W8" s="1">
        <v>2.7314814814813904E-3</v>
      </c>
      <c r="X8" s="1">
        <v>6.423611111111116E-3</v>
      </c>
      <c r="Y8" s="1">
        <v>7.4074074074074181E-3</v>
      </c>
      <c r="Z8" s="1">
        <v>9.8379629629630205E-3</v>
      </c>
    </row>
    <row r="9" spans="1:26" x14ac:dyDescent="0.25">
      <c r="A9">
        <v>4</v>
      </c>
      <c r="B9" t="s">
        <v>250</v>
      </c>
      <c r="C9" t="s">
        <v>251</v>
      </c>
      <c r="D9">
        <v>2001</v>
      </c>
      <c r="E9" s="1" t="s">
        <v>252</v>
      </c>
      <c r="F9" s="1" t="s">
        <v>253</v>
      </c>
      <c r="G9" s="1" t="s">
        <v>254</v>
      </c>
      <c r="H9" s="1" t="s">
        <v>255</v>
      </c>
      <c r="I9" s="1" t="s">
        <v>256</v>
      </c>
      <c r="J9" s="1" t="s">
        <v>257</v>
      </c>
      <c r="K9" s="1" t="s">
        <v>258</v>
      </c>
      <c r="L9" s="1" t="s">
        <v>259</v>
      </c>
      <c r="M9" s="1" t="s">
        <v>260</v>
      </c>
      <c r="N9" s="1" t="s">
        <v>54</v>
      </c>
      <c r="O9" s="1" t="s">
        <v>33</v>
      </c>
      <c r="P9" s="1" t="s">
        <v>55</v>
      </c>
      <c r="S9" s="1">
        <v>3.2407407407408773E-4</v>
      </c>
      <c r="T9" s="1">
        <v>1.2731481481481621E-3</v>
      </c>
      <c r="U9" s="1">
        <v>1.4583333333333393E-3</v>
      </c>
      <c r="V9" s="1">
        <v>1.0810185185185173E-2</v>
      </c>
      <c r="W9" s="1">
        <v>3.1828703703703498E-3</v>
      </c>
      <c r="X9" s="1">
        <v>1.5972222222222165E-2</v>
      </c>
      <c r="Y9" s="1">
        <v>1.7962962962962958E-2</v>
      </c>
      <c r="Z9" s="1">
        <v>2.0972222222222281E-2</v>
      </c>
    </row>
    <row r="10" spans="1:26" x14ac:dyDescent="0.25">
      <c r="A10">
        <v>1</v>
      </c>
      <c r="B10" t="s">
        <v>8</v>
      </c>
      <c r="C10" t="s">
        <v>17</v>
      </c>
      <c r="D10">
        <v>2012</v>
      </c>
      <c r="E10" s="1" t="s">
        <v>261</v>
      </c>
      <c r="F10" s="1" t="s">
        <v>262</v>
      </c>
      <c r="G10" s="1" t="s">
        <v>263</v>
      </c>
      <c r="H10" s="1" t="s">
        <v>264</v>
      </c>
      <c r="I10" s="1" t="s">
        <v>265</v>
      </c>
      <c r="J10" s="1" t="s">
        <v>266</v>
      </c>
      <c r="K10" s="1" t="s">
        <v>267</v>
      </c>
      <c r="L10" s="1" t="s">
        <v>268</v>
      </c>
      <c r="M10" s="1" t="s">
        <v>269</v>
      </c>
      <c r="N10" s="1" t="s">
        <v>270</v>
      </c>
      <c r="O10" s="1" t="s">
        <v>33</v>
      </c>
      <c r="P10" s="1" t="s">
        <v>55</v>
      </c>
      <c r="S10" s="1">
        <v>2.7777777777771018E-4</v>
      </c>
      <c r="T10" s="1">
        <v>8.5532407407408195E-3</v>
      </c>
      <c r="U10" s="1">
        <v>8.9120370370365798E-4</v>
      </c>
      <c r="V10" s="1">
        <v>6.0185185185185341E-3</v>
      </c>
      <c r="W10" s="1">
        <v>2.1412037037036313E-3</v>
      </c>
      <c r="X10" s="1">
        <v>9.8842592592592871E-3</v>
      </c>
      <c r="Y10" s="1">
        <v>1.2685185185185133E-2</v>
      </c>
      <c r="Z10" s="1">
        <v>2.2361111111111054E-2</v>
      </c>
    </row>
    <row r="11" spans="1:26" x14ac:dyDescent="0.25">
      <c r="A11">
        <v>1</v>
      </c>
      <c r="B11" t="s">
        <v>14</v>
      </c>
      <c r="C11" t="s">
        <v>282</v>
      </c>
      <c r="D11">
        <v>2009</v>
      </c>
      <c r="E11" s="1" t="s">
        <v>283</v>
      </c>
      <c r="F11" s="1" t="s">
        <v>284</v>
      </c>
      <c r="G11" s="1" t="s">
        <v>285</v>
      </c>
      <c r="H11" s="1" t="s">
        <v>286</v>
      </c>
      <c r="I11" s="1" t="s">
        <v>287</v>
      </c>
      <c r="J11" s="1" t="s">
        <v>288</v>
      </c>
      <c r="K11" s="1">
        <v>0.57395833333333335</v>
      </c>
      <c r="L11" s="1" t="s">
        <v>289</v>
      </c>
      <c r="M11" s="1" t="s">
        <v>290</v>
      </c>
      <c r="N11" s="1" t="s">
        <v>291</v>
      </c>
      <c r="O11" s="1" t="s">
        <v>33</v>
      </c>
      <c r="P11" s="1" t="s">
        <v>169</v>
      </c>
      <c r="S11" s="1">
        <v>2.777777777778212E-4</v>
      </c>
      <c r="T11" s="1">
        <v>4.8611111111107608E-4</v>
      </c>
      <c r="U11" s="1">
        <v>1.1458333333334014E-3</v>
      </c>
      <c r="V11" s="1">
        <v>4.5023148148148895E-3</v>
      </c>
      <c r="W11" s="1">
        <v>1.7939814814814659E-3</v>
      </c>
      <c r="X11" s="1">
        <v>1.3078703703703676E-2</v>
      </c>
      <c r="Y11" s="1">
        <v>1.5787037037037099E-2</v>
      </c>
      <c r="Z11" s="1">
        <v>1.8136574074074097E-2</v>
      </c>
    </row>
    <row r="12" spans="1:26" x14ac:dyDescent="0.25">
      <c r="A12">
        <v>3</v>
      </c>
      <c r="B12" t="s">
        <v>346</v>
      </c>
      <c r="C12" t="s">
        <v>347</v>
      </c>
      <c r="D12">
        <v>2015</v>
      </c>
      <c r="E12" s="1">
        <v>0.73273148148148148</v>
      </c>
      <c r="F12" s="1">
        <v>0.73302083333333334</v>
      </c>
      <c r="G12" s="1">
        <v>0.7338541666666667</v>
      </c>
      <c r="H12" s="1">
        <v>0.73731481481481487</v>
      </c>
      <c r="I12" s="1">
        <v>0.73473379629629632</v>
      </c>
      <c r="J12" s="1">
        <v>0.74049768518518522</v>
      </c>
      <c r="K12" s="1">
        <v>0.74496527777777777</v>
      </c>
      <c r="L12" s="1">
        <v>0.74548611111111107</v>
      </c>
      <c r="M12" s="1">
        <v>0.74675925925925923</v>
      </c>
      <c r="N12" s="1" t="s">
        <v>54</v>
      </c>
      <c r="O12" s="1" t="s">
        <v>33</v>
      </c>
      <c r="P12" s="1" t="s">
        <v>169</v>
      </c>
      <c r="S12" s="1">
        <v>2.8935185185186008E-4</v>
      </c>
      <c r="T12" s="1">
        <v>8.3333333333335258E-4</v>
      </c>
      <c r="U12" s="1">
        <v>8.796296296296191E-4</v>
      </c>
      <c r="V12" s="1">
        <v>3.460648148148171E-3</v>
      </c>
      <c r="W12" s="1">
        <v>3.1828703703703498E-3</v>
      </c>
      <c r="X12" s="1">
        <v>1.0231481481481453E-2</v>
      </c>
      <c r="Y12" s="1">
        <v>1.1631944444444375E-2</v>
      </c>
      <c r="Z12" s="1">
        <v>1.402777777777775E-2</v>
      </c>
    </row>
    <row r="13" spans="1:26" x14ac:dyDescent="0.25">
      <c r="A13">
        <v>1</v>
      </c>
      <c r="B13" t="s">
        <v>250</v>
      </c>
      <c r="C13" t="s">
        <v>354</v>
      </c>
      <c r="D13">
        <v>2001</v>
      </c>
      <c r="E13" s="1">
        <v>0.53232638888888884</v>
      </c>
      <c r="F13" s="1">
        <v>0.53258101851851847</v>
      </c>
      <c r="G13" s="1">
        <v>0.53343750000000001</v>
      </c>
      <c r="H13" s="1">
        <v>0.53585648148148146</v>
      </c>
      <c r="I13" s="1">
        <v>0.53415509259259264</v>
      </c>
      <c r="J13" s="1">
        <v>0.5368518518518518</v>
      </c>
      <c r="K13" s="1">
        <v>0.54317129629629635</v>
      </c>
      <c r="L13" s="1">
        <v>0.54369212962962965</v>
      </c>
      <c r="M13" s="1">
        <v>0.5458101851851852</v>
      </c>
      <c r="N13" s="1" t="s">
        <v>54</v>
      </c>
      <c r="O13" s="1" t="s">
        <v>33</v>
      </c>
      <c r="P13" s="1" t="s">
        <v>55</v>
      </c>
      <c r="S13" s="1">
        <v>2.5462962962963243E-4</v>
      </c>
      <c r="T13" s="1">
        <v>8.5648148148154135E-4</v>
      </c>
      <c r="U13" s="1">
        <v>7.1759259259263075E-4</v>
      </c>
      <c r="V13" s="1">
        <v>2.4189814814814525E-3</v>
      </c>
      <c r="W13" s="1">
        <v>9.9537037037034093E-4</v>
      </c>
      <c r="X13" s="1">
        <v>9.0162037037037068E-3</v>
      </c>
      <c r="Y13" s="1">
        <v>1.0254629629629641E-2</v>
      </c>
      <c r="Z13" s="1">
        <v>1.3483796296296369E-2</v>
      </c>
    </row>
    <row r="14" spans="1:26" x14ac:dyDescent="0.25">
      <c r="A14">
        <v>1</v>
      </c>
      <c r="B14" t="s">
        <v>8</v>
      </c>
      <c r="C14" t="s">
        <v>17</v>
      </c>
      <c r="D14">
        <v>2009</v>
      </c>
      <c r="E14" s="1">
        <v>0.60440972222222222</v>
      </c>
      <c r="F14" s="1">
        <v>0.60465277777777782</v>
      </c>
      <c r="G14" s="1">
        <v>0.6058217592592593</v>
      </c>
      <c r="H14" s="1">
        <v>0.60960648148148144</v>
      </c>
      <c r="I14" s="1">
        <v>0.60717592592592595</v>
      </c>
      <c r="J14" s="1">
        <v>0.6106018518518519</v>
      </c>
      <c r="K14" s="1">
        <v>0.61828703703703702</v>
      </c>
      <c r="L14" s="1">
        <v>0.61864583333333334</v>
      </c>
      <c r="M14" s="1">
        <v>0.61986111111111108</v>
      </c>
      <c r="N14" s="1" t="s">
        <v>363</v>
      </c>
      <c r="O14" s="1" t="s">
        <v>33</v>
      </c>
      <c r="P14" s="1" t="s">
        <v>55</v>
      </c>
      <c r="S14" s="1">
        <v>2.4305555555559355E-4</v>
      </c>
      <c r="T14" s="1">
        <v>1.1689814814814792E-3</v>
      </c>
      <c r="U14" s="1">
        <v>1.3541666666666563E-3</v>
      </c>
      <c r="V14" s="1">
        <v>3.7847222222221477E-3</v>
      </c>
      <c r="W14" s="1">
        <v>9.9537037037045195E-4</v>
      </c>
      <c r="X14" s="1">
        <v>1.1111111111111072E-2</v>
      </c>
      <c r="Y14" s="1">
        <v>1.2824074074074043E-2</v>
      </c>
      <c r="Z14" s="1">
        <v>1.5451388888888862E-2</v>
      </c>
    </row>
    <row r="15" spans="1:26" x14ac:dyDescent="0.25">
      <c r="A15">
        <v>2</v>
      </c>
      <c r="B15" t="s">
        <v>16</v>
      </c>
      <c r="C15" t="s">
        <v>364</v>
      </c>
      <c r="D15">
        <v>2015</v>
      </c>
      <c r="E15" s="1">
        <v>0.61099537037037033</v>
      </c>
      <c r="F15" s="1">
        <v>0.61140046296296291</v>
      </c>
      <c r="G15" s="1">
        <v>0.61238425925925921</v>
      </c>
      <c r="H15" s="1">
        <v>0.61486111111111108</v>
      </c>
      <c r="I15" s="1">
        <v>0.61336805555555551</v>
      </c>
      <c r="J15" s="1">
        <v>0.6166666666666667</v>
      </c>
      <c r="K15" s="1">
        <v>0.61962962962962964</v>
      </c>
      <c r="L15" s="1">
        <v>0.62013888888888891</v>
      </c>
      <c r="M15" s="1">
        <v>0.6206828703703704</v>
      </c>
      <c r="N15" s="1" t="s">
        <v>365</v>
      </c>
      <c r="O15" s="1" t="s">
        <v>33</v>
      </c>
      <c r="P15" s="1" t="s">
        <v>180</v>
      </c>
      <c r="S15" s="1">
        <v>4.050925925925819E-4</v>
      </c>
      <c r="T15" s="1">
        <v>9.8379629629630205E-4</v>
      </c>
      <c r="U15" s="1">
        <v>9.8379629629630205E-4</v>
      </c>
      <c r="V15" s="1">
        <v>2.476851851851869E-3</v>
      </c>
      <c r="W15" s="1">
        <v>1.8055555555556158E-3</v>
      </c>
      <c r="X15" s="1">
        <v>6.2615740740741277E-3</v>
      </c>
      <c r="Y15" s="1">
        <v>7.7546296296296946E-3</v>
      </c>
      <c r="Z15" s="1">
        <v>9.6875000000000711E-3</v>
      </c>
    </row>
    <row r="16" spans="1:26" x14ac:dyDescent="0.25">
      <c r="A16">
        <v>1</v>
      </c>
      <c r="B16" t="s">
        <v>374</v>
      </c>
      <c r="C16" t="s">
        <v>375</v>
      </c>
      <c r="D16">
        <v>2016</v>
      </c>
      <c r="E16" s="1">
        <v>0.50464120370370369</v>
      </c>
      <c r="F16" s="1">
        <v>0.50534722222222217</v>
      </c>
      <c r="G16" s="1">
        <v>0.51101851851851854</v>
      </c>
      <c r="H16" s="1">
        <v>0.5190393518518519</v>
      </c>
      <c r="I16" s="1">
        <v>0.51184027777777774</v>
      </c>
      <c r="J16" s="1">
        <v>0.52043981481481483</v>
      </c>
      <c r="K16" s="1">
        <v>0.5274537037037037</v>
      </c>
      <c r="L16" s="1">
        <v>0.52773148148148152</v>
      </c>
      <c r="M16" s="1">
        <v>0.52891203703703704</v>
      </c>
      <c r="N16" s="1" t="s">
        <v>338</v>
      </c>
      <c r="O16" s="1" t="s">
        <v>33</v>
      </c>
      <c r="P16" s="1" t="s">
        <v>55</v>
      </c>
      <c r="S16" s="1">
        <v>7.0601851851848085E-4</v>
      </c>
      <c r="T16" s="1">
        <v>5.6712962962963687E-3</v>
      </c>
      <c r="U16" s="1">
        <v>8.2175925925920268E-4</v>
      </c>
      <c r="V16" s="1">
        <v>8.0208333333333659E-3</v>
      </c>
      <c r="W16" s="1">
        <v>1.4004629629629228E-3</v>
      </c>
      <c r="X16" s="1">
        <v>1.5613425925925961E-2</v>
      </c>
      <c r="Y16" s="1">
        <v>1.6712962962962985E-2</v>
      </c>
      <c r="Z16" s="1">
        <v>2.4270833333333353E-2</v>
      </c>
    </row>
    <row r="17" spans="1:26" x14ac:dyDescent="0.25">
      <c r="A17">
        <v>2</v>
      </c>
      <c r="B17" t="s">
        <v>38</v>
      </c>
      <c r="C17" t="s">
        <v>397</v>
      </c>
      <c r="D17">
        <v>2014</v>
      </c>
      <c r="E17" s="1">
        <v>0.65127314814814818</v>
      </c>
      <c r="F17" s="1">
        <v>0.65145833333333336</v>
      </c>
      <c r="G17" s="1">
        <v>0.65216435185185184</v>
      </c>
      <c r="H17" s="1">
        <v>0.65643518518518518</v>
      </c>
      <c r="I17" s="1">
        <v>0.65282407407407406</v>
      </c>
      <c r="J17" s="1">
        <v>0.66313657407407411</v>
      </c>
      <c r="K17" s="1">
        <v>0.66587962962962965</v>
      </c>
      <c r="L17" s="1">
        <v>0.69045138888888891</v>
      </c>
      <c r="M17" s="1">
        <v>0.69153935185185189</v>
      </c>
      <c r="N17" s="1" t="s">
        <v>398</v>
      </c>
      <c r="O17" s="1" t="s">
        <v>33</v>
      </c>
      <c r="P17" s="1" t="s">
        <v>55</v>
      </c>
      <c r="S17" s="1">
        <v>1.8518518518517713E-4</v>
      </c>
      <c r="T17" s="1">
        <v>7.0601851851848085E-4</v>
      </c>
      <c r="U17" s="1">
        <v>6.5972222222221433E-4</v>
      </c>
      <c r="V17" s="1">
        <v>4.2708333333333348E-3</v>
      </c>
      <c r="W17" s="1">
        <v>6.7013888888889372E-3</v>
      </c>
      <c r="X17" s="1">
        <v>1.3055555555555598E-2</v>
      </c>
      <c r="Y17" s="1">
        <v>3.8287037037037064E-2</v>
      </c>
      <c r="Z17" s="1">
        <v>4.0266203703703707E-2</v>
      </c>
    </row>
    <row r="18" spans="1:26" x14ac:dyDescent="0.25">
      <c r="A18">
        <v>2</v>
      </c>
      <c r="B18" t="s">
        <v>15</v>
      </c>
      <c r="C18" t="s">
        <v>29</v>
      </c>
      <c r="D18">
        <v>2018</v>
      </c>
      <c r="E18" s="1">
        <v>0.6806712962962963</v>
      </c>
      <c r="F18" s="1">
        <v>0.68135416666666671</v>
      </c>
      <c r="G18" s="1">
        <v>0.68221064814814814</v>
      </c>
      <c r="H18" s="1">
        <v>0.68589120370370371</v>
      </c>
      <c r="I18" s="1">
        <v>0.68314814814814817</v>
      </c>
      <c r="J18" s="1">
        <v>0.69052083333333336</v>
      </c>
      <c r="K18" s="1">
        <v>0.69268518518518518</v>
      </c>
      <c r="L18" s="1">
        <v>0.69876157407407402</v>
      </c>
      <c r="M18" s="1">
        <v>0.69982638888888893</v>
      </c>
      <c r="N18" s="1" t="s">
        <v>399</v>
      </c>
      <c r="O18" s="1" t="s">
        <v>33</v>
      </c>
      <c r="P18" s="1" t="s">
        <v>169</v>
      </c>
      <c r="S18" s="1">
        <v>6.828703703704031E-4</v>
      </c>
      <c r="T18" s="1">
        <v>8.5648148148143033E-4</v>
      </c>
      <c r="U18" s="1">
        <v>9.3750000000003553E-4</v>
      </c>
      <c r="V18" s="1">
        <v>3.6805555555555758E-3</v>
      </c>
      <c r="W18" s="1">
        <v>4.6296296296296502E-3</v>
      </c>
      <c r="X18" s="1">
        <v>9.5370370370370106E-3</v>
      </c>
      <c r="Y18" s="1">
        <v>1.6550925925925886E-2</v>
      </c>
      <c r="Z18" s="1">
        <v>1.9155092592592626E-2</v>
      </c>
    </row>
    <row r="19" spans="1:26" x14ac:dyDescent="0.25">
      <c r="A19">
        <v>4</v>
      </c>
      <c r="B19" t="s">
        <v>38</v>
      </c>
      <c r="C19" t="s">
        <v>397</v>
      </c>
      <c r="D19">
        <v>2006</v>
      </c>
      <c r="E19" s="1">
        <v>0.68730324074074078</v>
      </c>
      <c r="F19" s="1">
        <v>0.68754629629629627</v>
      </c>
      <c r="G19" s="1">
        <v>0.6882638888888889</v>
      </c>
      <c r="H19" s="1">
        <v>0.69112268518518516</v>
      </c>
      <c r="I19" s="1">
        <v>0.68967592592592597</v>
      </c>
      <c r="J19" s="1">
        <v>0.69374999999999998</v>
      </c>
      <c r="K19" s="1">
        <v>0.69918981481481479</v>
      </c>
      <c r="L19" s="1">
        <v>0.69959490740740737</v>
      </c>
      <c r="M19" s="1">
        <v>0.70125000000000004</v>
      </c>
      <c r="N19" s="1" t="s">
        <v>54</v>
      </c>
      <c r="O19" s="1" t="s">
        <v>33</v>
      </c>
      <c r="P19" s="1" t="s">
        <v>55</v>
      </c>
      <c r="S19" s="1">
        <v>2.4305555555548253E-4</v>
      </c>
      <c r="T19" s="1">
        <v>7.1759259259263075E-4</v>
      </c>
      <c r="U19" s="1">
        <v>1.4120370370370727E-3</v>
      </c>
      <c r="V19" s="1">
        <v>2.8587962962962621E-3</v>
      </c>
      <c r="W19" s="1">
        <v>2.6273148148148184E-3</v>
      </c>
      <c r="X19" s="1">
        <v>9.5138888888888218E-3</v>
      </c>
      <c r="Y19" s="1">
        <v>1.1331018518518476E-2</v>
      </c>
      <c r="Z19" s="1">
        <v>1.3946759259259256E-2</v>
      </c>
    </row>
    <row r="20" spans="1:26" x14ac:dyDescent="0.25">
      <c r="A20">
        <v>3</v>
      </c>
      <c r="B20" t="s">
        <v>403</v>
      </c>
      <c r="C20" t="s">
        <v>404</v>
      </c>
      <c r="D20">
        <v>2009</v>
      </c>
      <c r="E20" s="1">
        <v>0.7101736111111111</v>
      </c>
      <c r="F20" s="1">
        <v>0.71037037037037032</v>
      </c>
      <c r="G20" s="1">
        <v>0.71134259259259258</v>
      </c>
      <c r="H20" s="1">
        <v>0.71481481481481479</v>
      </c>
      <c r="I20" s="1">
        <v>0.7129861111111111</v>
      </c>
      <c r="J20" s="1">
        <v>0.71652777777777776</v>
      </c>
      <c r="K20" s="1">
        <v>0.72252314814814811</v>
      </c>
      <c r="L20" s="1">
        <v>0.72417824074074078</v>
      </c>
      <c r="M20" s="1">
        <v>0.7247569444444445</v>
      </c>
      <c r="N20" s="1" t="s">
        <v>382</v>
      </c>
      <c r="O20" s="1" t="s">
        <v>33</v>
      </c>
      <c r="P20" s="1" t="s">
        <v>180</v>
      </c>
      <c r="S20" s="1">
        <v>1.96759259259216E-4</v>
      </c>
      <c r="T20" s="1">
        <v>9.7222222222226318E-4</v>
      </c>
      <c r="U20" s="1">
        <v>1.6435185185185164E-3</v>
      </c>
      <c r="V20" s="1">
        <v>3.4722222222222099E-3</v>
      </c>
      <c r="W20" s="1">
        <v>1.7129629629629717E-3</v>
      </c>
      <c r="X20" s="1">
        <v>9.5370370370370106E-3</v>
      </c>
      <c r="Y20" s="1">
        <v>1.2835648148148193E-2</v>
      </c>
      <c r="Z20" s="1">
        <v>1.4583333333333393E-2</v>
      </c>
    </row>
    <row r="21" spans="1:26" x14ac:dyDescent="0.25">
      <c r="A21">
        <v>1</v>
      </c>
      <c r="B21" t="s">
        <v>38</v>
      </c>
      <c r="C21" t="s">
        <v>432</v>
      </c>
      <c r="D21">
        <v>2017</v>
      </c>
      <c r="E21" s="1">
        <v>0.59949074074074071</v>
      </c>
      <c r="F21" s="1">
        <v>0.59965277777777781</v>
      </c>
      <c r="G21" s="1">
        <v>0.60040509259259256</v>
      </c>
      <c r="H21" s="1">
        <v>0.60206018518518523</v>
      </c>
      <c r="I21" s="1">
        <v>0.60106481481481477</v>
      </c>
      <c r="J21" s="1">
        <v>0.60613425925925923</v>
      </c>
      <c r="K21" s="1">
        <v>0.61171296296296296</v>
      </c>
      <c r="L21" s="1">
        <v>0.61221064814814818</v>
      </c>
      <c r="M21" s="1">
        <v>0.61325231481481479</v>
      </c>
      <c r="N21" s="1" t="s">
        <v>433</v>
      </c>
      <c r="O21" s="1" t="s">
        <v>33</v>
      </c>
      <c r="P21" s="1" t="s">
        <v>55</v>
      </c>
      <c r="S21" s="1">
        <v>1.6203703703709937E-4</v>
      </c>
      <c r="T21" s="1">
        <v>7.5231481481474738E-4</v>
      </c>
      <c r="U21" s="1">
        <v>6.5972222222221433E-4</v>
      </c>
      <c r="V21" s="1">
        <v>1.6550925925926663E-3</v>
      </c>
      <c r="W21" s="1">
        <v>4.0740740740740078E-3</v>
      </c>
      <c r="X21" s="1">
        <v>1.0648148148148184E-2</v>
      </c>
      <c r="Y21" s="1">
        <v>1.1805555555555625E-2</v>
      </c>
      <c r="Z21" s="1">
        <v>1.3761574074074079E-2</v>
      </c>
    </row>
    <row r="22" spans="1:26" x14ac:dyDescent="0.25">
      <c r="A22">
        <v>1</v>
      </c>
      <c r="B22" t="s">
        <v>38</v>
      </c>
      <c r="C22" t="s">
        <v>435</v>
      </c>
      <c r="D22">
        <v>2014</v>
      </c>
      <c r="E22" s="1">
        <v>0.62343749999999998</v>
      </c>
      <c r="F22" s="1">
        <v>0.62372685185185184</v>
      </c>
      <c r="G22" s="1">
        <v>0.62435185185185182</v>
      </c>
      <c r="H22" s="1">
        <v>0.62656250000000002</v>
      </c>
      <c r="I22" s="1">
        <v>0.62525462962962963</v>
      </c>
      <c r="J22" s="1">
        <v>0.62964120370370369</v>
      </c>
      <c r="K22" s="1">
        <v>0.63143518518518515</v>
      </c>
      <c r="L22" s="1">
        <v>0.63233796296296296</v>
      </c>
      <c r="M22" s="1">
        <v>0.63354166666666667</v>
      </c>
      <c r="N22" s="1" t="s">
        <v>343</v>
      </c>
      <c r="O22" s="1" t="s">
        <v>33</v>
      </c>
      <c r="P22" s="1" t="s">
        <v>55</v>
      </c>
      <c r="S22" s="1">
        <v>2.8935185185186008E-4</v>
      </c>
      <c r="T22" s="1">
        <v>6.2499999999998668E-4</v>
      </c>
      <c r="U22" s="1">
        <v>9.0277777777780788E-4</v>
      </c>
      <c r="V22" s="1">
        <v>2.2106481481481977E-3</v>
      </c>
      <c r="W22" s="1">
        <v>3.0787037037036669E-3</v>
      </c>
      <c r="X22" s="1">
        <v>6.1805555555555225E-3</v>
      </c>
      <c r="Y22" s="1">
        <v>7.9861111111111382E-3</v>
      </c>
      <c r="Z22" s="1">
        <v>1.0104166666666692E-2</v>
      </c>
    </row>
    <row r="23" spans="1:26" x14ac:dyDescent="0.25">
      <c r="A23">
        <v>3</v>
      </c>
      <c r="B23" t="s">
        <v>8</v>
      </c>
      <c r="C23" t="s">
        <v>443</v>
      </c>
      <c r="D23">
        <v>2015</v>
      </c>
      <c r="E23" s="1">
        <v>0.65965277777777775</v>
      </c>
      <c r="F23" s="1">
        <v>0.65990740740740739</v>
      </c>
      <c r="G23" s="1">
        <v>0.66052083333333333</v>
      </c>
      <c r="H23" s="1">
        <v>0.66574074074074074</v>
      </c>
      <c r="I23" s="1">
        <v>0.66122685185185182</v>
      </c>
      <c r="J23" s="1">
        <v>0.66702546296296295</v>
      </c>
      <c r="K23" s="1">
        <v>0.67017361111111107</v>
      </c>
      <c r="L23" s="1">
        <v>0.67184027777777777</v>
      </c>
      <c r="M23" s="1">
        <v>0.67256944444444444</v>
      </c>
      <c r="N23" s="1" t="s">
        <v>365</v>
      </c>
      <c r="O23" s="1" t="s">
        <v>33</v>
      </c>
      <c r="P23" s="1" t="s">
        <v>55</v>
      </c>
      <c r="S23" s="1">
        <v>2.5462962962963243E-4</v>
      </c>
      <c r="T23" s="1">
        <v>6.134259259259478E-4</v>
      </c>
      <c r="U23" s="1">
        <v>7.0601851851848085E-4</v>
      </c>
      <c r="V23" s="1">
        <v>5.2199074074074092E-3</v>
      </c>
      <c r="W23" s="1">
        <v>1.284722222222201E-3</v>
      </c>
      <c r="X23" s="1">
        <v>8.9467592592592515E-3</v>
      </c>
      <c r="Y23" s="1">
        <v>1.1319444444444438E-2</v>
      </c>
      <c r="Z23" s="1">
        <v>1.2916666666666687E-2</v>
      </c>
    </row>
    <row r="24" spans="1:26" x14ac:dyDescent="0.25">
      <c r="A24">
        <v>1</v>
      </c>
      <c r="B24" t="s">
        <v>390</v>
      </c>
      <c r="C24" t="s">
        <v>448</v>
      </c>
      <c r="D24">
        <v>2006</v>
      </c>
      <c r="E24" s="1">
        <v>0.68559027777777781</v>
      </c>
      <c r="F24" s="1">
        <v>0.68582175925925926</v>
      </c>
      <c r="G24" s="1">
        <v>0.68668981481481484</v>
      </c>
      <c r="H24" s="1">
        <v>0.68868055555555552</v>
      </c>
      <c r="I24" s="1">
        <v>0.6872800925925926</v>
      </c>
      <c r="J24" s="1">
        <v>0.69103009259259263</v>
      </c>
      <c r="K24" s="1">
        <v>0.69399305555555557</v>
      </c>
      <c r="L24" s="1">
        <v>0.69457175925925929</v>
      </c>
      <c r="M24" s="1">
        <v>0.69634259259259257</v>
      </c>
      <c r="N24" s="1" t="s">
        <v>449</v>
      </c>
      <c r="O24" s="1" t="s">
        <v>33</v>
      </c>
      <c r="P24" s="1" t="s">
        <v>55</v>
      </c>
      <c r="S24" s="1">
        <v>2.3148148148144365E-4</v>
      </c>
      <c r="T24" s="1">
        <v>8.6805555555558023E-4</v>
      </c>
      <c r="U24" s="1">
        <v>5.9027777777775903E-4</v>
      </c>
      <c r="V24" s="1">
        <v>1.9907407407406819E-3</v>
      </c>
      <c r="W24" s="1">
        <v>2.3495370370371083E-3</v>
      </c>
      <c r="X24" s="1">
        <v>6.7129629629629761E-3</v>
      </c>
      <c r="Y24" s="1">
        <v>7.8819444444444553E-3</v>
      </c>
      <c r="Z24" s="1">
        <v>1.0752314814814756E-2</v>
      </c>
    </row>
    <row r="25" spans="1:26" x14ac:dyDescent="0.25">
      <c r="A25">
        <v>2</v>
      </c>
      <c r="B25" t="s">
        <v>451</v>
      </c>
      <c r="C25" t="s">
        <v>452</v>
      </c>
      <c r="D25">
        <v>2016</v>
      </c>
      <c r="E25" s="1">
        <v>0.71013888888888888</v>
      </c>
      <c r="F25" s="1">
        <v>0.71028935185185182</v>
      </c>
      <c r="G25" s="1">
        <v>0.71109953703703699</v>
      </c>
      <c r="H25" s="1">
        <v>0.71263888888888893</v>
      </c>
      <c r="I25" s="1">
        <v>0.71186342592592589</v>
      </c>
      <c r="J25" s="1">
        <v>0.71543981481481478</v>
      </c>
      <c r="K25" s="1">
        <v>0.72787037037037039</v>
      </c>
      <c r="L25" s="1">
        <v>0.75225694444444446</v>
      </c>
      <c r="M25" s="1">
        <v>0.75377314814814811</v>
      </c>
      <c r="N25" s="1" t="s">
        <v>453</v>
      </c>
      <c r="O25" s="1" t="s">
        <v>33</v>
      </c>
      <c r="P25" s="1" t="s">
        <v>169</v>
      </c>
      <c r="S25" s="1">
        <v>1.5046296296294948E-4</v>
      </c>
      <c r="T25" s="1">
        <v>8.101851851851638E-4</v>
      </c>
      <c r="U25" s="1">
        <v>7.6388888888889728E-4</v>
      </c>
      <c r="V25" s="1">
        <v>1.5393518518519445E-3</v>
      </c>
      <c r="W25" s="1">
        <v>2.8009259259258457E-3</v>
      </c>
      <c r="X25" s="1">
        <v>1.6006944444444504E-2</v>
      </c>
      <c r="Y25" s="1">
        <v>4.1157407407407476E-2</v>
      </c>
      <c r="Z25" s="1">
        <v>4.3634259259259234E-2</v>
      </c>
    </row>
    <row r="26" spans="1:26" x14ac:dyDescent="0.25">
      <c r="A26">
        <v>1</v>
      </c>
      <c r="B26" t="s">
        <v>12</v>
      </c>
      <c r="C26" t="s">
        <v>456</v>
      </c>
      <c r="D26">
        <v>2012</v>
      </c>
      <c r="E26" s="1">
        <v>0.40768518518518521</v>
      </c>
      <c r="F26" s="1">
        <v>0.40790509259259261</v>
      </c>
      <c r="G26" s="1">
        <v>0.40895833333333331</v>
      </c>
      <c r="H26" s="1">
        <v>0.41074074074074074</v>
      </c>
      <c r="I26" s="1">
        <v>0.41038194444444442</v>
      </c>
      <c r="J26" s="1">
        <v>0.41202546296296294</v>
      </c>
      <c r="K26" s="1">
        <v>0.41473379629629631</v>
      </c>
      <c r="L26" s="1">
        <v>0.4150462962962963</v>
      </c>
      <c r="M26" s="1">
        <v>0.41549768518518521</v>
      </c>
      <c r="N26" s="1" t="s">
        <v>343</v>
      </c>
      <c r="O26" s="1" t="s">
        <v>33</v>
      </c>
      <c r="P26" s="1" t="s">
        <v>169</v>
      </c>
      <c r="S26" s="1">
        <v>2.1990740740740478E-4</v>
      </c>
      <c r="T26" s="1">
        <v>1.0532407407407018E-3</v>
      </c>
      <c r="U26" s="1">
        <v>1.4236111111111116E-3</v>
      </c>
      <c r="V26" s="1">
        <v>1.782407407407427E-3</v>
      </c>
      <c r="W26" s="1">
        <v>1.284722222222201E-3</v>
      </c>
      <c r="X26" s="1">
        <v>4.3518518518518845E-3</v>
      </c>
      <c r="Y26" s="1">
        <v>6.0879629629629894E-3</v>
      </c>
      <c r="Z26" s="1">
        <v>7.8125E-3</v>
      </c>
    </row>
    <row r="27" spans="1:26" x14ac:dyDescent="0.25">
      <c r="A27">
        <v>4</v>
      </c>
      <c r="B27" t="s">
        <v>394</v>
      </c>
      <c r="C27" t="s">
        <v>465</v>
      </c>
      <c r="D27">
        <v>2013</v>
      </c>
      <c r="E27" s="1">
        <v>0.60699074074074078</v>
      </c>
      <c r="F27" s="1">
        <v>0.60741898148148143</v>
      </c>
      <c r="G27" s="1">
        <v>0.61108796296296297</v>
      </c>
      <c r="H27" s="1">
        <v>0.61488425925925927</v>
      </c>
      <c r="I27" s="1">
        <v>0.6128703703703704</v>
      </c>
      <c r="J27" s="1">
        <v>0.61946759259259254</v>
      </c>
      <c r="K27" s="1">
        <v>0.62785879629629626</v>
      </c>
      <c r="L27" s="1">
        <v>0.62935185185185183</v>
      </c>
      <c r="M27" s="1">
        <v>0.62981481481481483</v>
      </c>
      <c r="N27" s="1" t="s">
        <v>343</v>
      </c>
      <c r="O27" s="1" t="s">
        <v>33</v>
      </c>
      <c r="P27" s="1" t="s">
        <v>169</v>
      </c>
      <c r="S27" s="1">
        <v>4.2824074074065965E-4</v>
      </c>
      <c r="T27" s="1">
        <v>3.6689814814815369E-3</v>
      </c>
      <c r="U27" s="1">
        <v>1.782407407407427E-3</v>
      </c>
      <c r="V27" s="1">
        <v>3.7962962962962976E-3</v>
      </c>
      <c r="W27" s="1">
        <v>4.5833333333332726E-3</v>
      </c>
      <c r="X27" s="1">
        <v>1.4988425925925863E-2</v>
      </c>
      <c r="Y27" s="1">
        <v>1.8263888888888857E-2</v>
      </c>
      <c r="Z27" s="1">
        <v>2.3692129629629629E-2</v>
      </c>
    </row>
    <row r="28" spans="1:26" x14ac:dyDescent="0.25">
      <c r="A28">
        <v>1</v>
      </c>
      <c r="B28" t="s">
        <v>8</v>
      </c>
      <c r="C28" t="s">
        <v>466</v>
      </c>
      <c r="D28">
        <v>2013</v>
      </c>
      <c r="E28" s="1">
        <v>0.61152777777777778</v>
      </c>
      <c r="F28" s="1">
        <v>0.61232638888888891</v>
      </c>
      <c r="G28" s="1">
        <v>0.61472222222222217</v>
      </c>
      <c r="H28" s="1">
        <v>0.61776620370370372</v>
      </c>
      <c r="I28" s="1">
        <v>0.61608796296296298</v>
      </c>
      <c r="J28" s="1">
        <v>0.62343749999999998</v>
      </c>
      <c r="K28" s="1">
        <v>0.6292592592592593</v>
      </c>
      <c r="L28" s="1">
        <v>0.63325231481481481</v>
      </c>
      <c r="M28" s="1">
        <v>0.63521990740740741</v>
      </c>
      <c r="N28" s="1" t="s">
        <v>343</v>
      </c>
      <c r="O28" s="1" t="s">
        <v>33</v>
      </c>
      <c r="P28" s="1" t="s">
        <v>55</v>
      </c>
      <c r="S28" s="1">
        <v>7.9861111111112493E-4</v>
      </c>
      <c r="T28" s="1">
        <v>2.3958333333332638E-3</v>
      </c>
      <c r="U28" s="1">
        <v>1.3657407407408062E-3</v>
      </c>
      <c r="V28" s="1">
        <v>3.0439814814815502E-3</v>
      </c>
      <c r="W28" s="1">
        <v>5.6712962962962576E-3</v>
      </c>
      <c r="X28" s="1">
        <v>1.317129629629632E-2</v>
      </c>
      <c r="Y28" s="1">
        <v>1.853009259259264E-2</v>
      </c>
      <c r="Z28" s="1">
        <v>2.3692129629629632E-2</v>
      </c>
    </row>
    <row r="29" spans="1:26" x14ac:dyDescent="0.25">
      <c r="A29">
        <v>1</v>
      </c>
      <c r="B29" t="s">
        <v>440</v>
      </c>
      <c r="C29" t="s">
        <v>473</v>
      </c>
      <c r="D29">
        <v>2020</v>
      </c>
      <c r="E29" s="1">
        <v>0.70424768518518521</v>
      </c>
      <c r="F29" s="1">
        <v>0.70475694444444448</v>
      </c>
      <c r="G29" s="1">
        <v>0.70524305555555555</v>
      </c>
      <c r="H29" s="1">
        <v>0.70679398148148154</v>
      </c>
      <c r="I29" s="1">
        <v>0.70584490740740746</v>
      </c>
      <c r="J29" s="1">
        <v>0.70981481481481479</v>
      </c>
      <c r="K29" s="1">
        <v>0.71258101851851852</v>
      </c>
      <c r="L29" s="1">
        <v>0.71333333333333337</v>
      </c>
      <c r="M29" s="1">
        <v>0.71412037037037035</v>
      </c>
      <c r="N29" s="1" t="s">
        <v>343</v>
      </c>
      <c r="O29" s="1" t="s">
        <v>33</v>
      </c>
      <c r="P29" s="1" t="s">
        <v>180</v>
      </c>
      <c r="S29" s="1">
        <v>5.0925925925926485E-4</v>
      </c>
      <c r="T29" s="1">
        <v>4.8611111111107608E-4</v>
      </c>
      <c r="U29" s="1">
        <v>6.0185185185190893E-4</v>
      </c>
      <c r="V29" s="1">
        <v>1.5509259259259833E-3</v>
      </c>
      <c r="W29" s="1">
        <v>3.0208333333332504E-3</v>
      </c>
      <c r="X29" s="1">
        <v>6.7361111111110539E-3</v>
      </c>
      <c r="Y29" s="1">
        <v>8.0902777777778212E-3</v>
      </c>
      <c r="Z29" s="1">
        <v>9.8726851851851372E-3</v>
      </c>
    </row>
    <row r="30" spans="1:26" x14ac:dyDescent="0.25">
      <c r="A30">
        <v>4</v>
      </c>
      <c r="B30" t="s">
        <v>359</v>
      </c>
      <c r="C30" t="s">
        <v>477</v>
      </c>
      <c r="D30">
        <v>2021</v>
      </c>
      <c r="E30" s="1">
        <v>0.46377314814814813</v>
      </c>
      <c r="F30" s="1">
        <v>0.46387731481481481</v>
      </c>
      <c r="G30" s="1">
        <v>0.46754629629629629</v>
      </c>
      <c r="H30" s="1">
        <v>0.47643518518518518</v>
      </c>
      <c r="I30" s="1">
        <v>0.46832175925925928</v>
      </c>
      <c r="J30" s="1">
        <v>0.47878472222222224</v>
      </c>
      <c r="K30" s="1">
        <v>0.48770833333333335</v>
      </c>
      <c r="L30" s="1">
        <v>0.48954861111111109</v>
      </c>
      <c r="M30" s="1">
        <v>0.49108796296296298</v>
      </c>
      <c r="N30" s="1" t="s">
        <v>478</v>
      </c>
      <c r="O30" s="1" t="s">
        <v>33</v>
      </c>
      <c r="P30" s="1" t="s">
        <v>55</v>
      </c>
      <c r="S30" s="1">
        <v>1.0416666666668295E-4</v>
      </c>
      <c r="T30" s="1">
        <v>3.6689814814814814E-3</v>
      </c>
      <c r="U30" s="1">
        <v>7.7546296296299166E-4</v>
      </c>
      <c r="V30" s="1">
        <v>8.8888888888888906E-3</v>
      </c>
      <c r="W30" s="1">
        <v>2.3495370370370527E-3</v>
      </c>
      <c r="X30" s="1">
        <v>1.938657407407407E-2</v>
      </c>
      <c r="Y30" s="1">
        <v>2.2002314814814794E-2</v>
      </c>
      <c r="Z30" s="1">
        <v>2.7314814814814847E-2</v>
      </c>
    </row>
    <row r="31" spans="1:26" x14ac:dyDescent="0.25">
      <c r="A31">
        <v>2</v>
      </c>
      <c r="B31" t="s">
        <v>8</v>
      </c>
      <c r="C31" t="s">
        <v>479</v>
      </c>
      <c r="D31">
        <v>2012</v>
      </c>
      <c r="E31" s="1">
        <v>0.49840277777777775</v>
      </c>
      <c r="F31" s="1">
        <v>0.49875000000000003</v>
      </c>
      <c r="G31" s="1">
        <v>0.49949074074074074</v>
      </c>
      <c r="H31" s="1">
        <v>0.50408564814814816</v>
      </c>
      <c r="I31" s="1">
        <v>0.50105324074074076</v>
      </c>
      <c r="J31" s="1">
        <v>0.50578703703703709</v>
      </c>
      <c r="K31" s="1">
        <v>0.50839120370370372</v>
      </c>
      <c r="L31" s="1">
        <v>0.50877314814814811</v>
      </c>
      <c r="M31" s="1">
        <v>0.50932870370370376</v>
      </c>
      <c r="N31" s="1" t="s">
        <v>54</v>
      </c>
      <c r="O31" s="1" t="s">
        <v>33</v>
      </c>
      <c r="P31" s="1" t="s">
        <v>55</v>
      </c>
      <c r="S31" s="1">
        <v>3.472222222222765E-4</v>
      </c>
      <c r="T31" s="1">
        <v>7.407407407407085E-4</v>
      </c>
      <c r="U31" s="1">
        <v>1.5625000000000222E-3</v>
      </c>
      <c r="V31" s="1">
        <v>4.5949074074074225E-3</v>
      </c>
      <c r="W31" s="1">
        <v>1.7013888888889328E-3</v>
      </c>
      <c r="X31" s="1">
        <v>7.3379629629629628E-3</v>
      </c>
      <c r="Y31" s="1">
        <v>9.2824074074073781E-3</v>
      </c>
      <c r="Z31" s="1">
        <v>1.0925925925926006E-2</v>
      </c>
    </row>
    <row r="32" spans="1:26" x14ac:dyDescent="0.25">
      <c r="A32">
        <v>3</v>
      </c>
      <c r="B32" t="s">
        <v>38</v>
      </c>
      <c r="C32" t="s">
        <v>480</v>
      </c>
      <c r="D32">
        <v>2014</v>
      </c>
      <c r="E32" s="1">
        <v>0.50309027777777782</v>
      </c>
      <c r="F32" s="1">
        <v>0.50328703703703703</v>
      </c>
      <c r="G32" s="1">
        <v>0.5043981481481481</v>
      </c>
      <c r="H32" s="1">
        <v>0.50792824074074072</v>
      </c>
      <c r="I32" s="1">
        <v>0.50574074074074071</v>
      </c>
      <c r="J32" s="1">
        <v>0.51103009259259258</v>
      </c>
      <c r="K32" s="1">
        <v>0.51806712962962964</v>
      </c>
      <c r="L32" s="1">
        <v>0.51873842592592589</v>
      </c>
      <c r="M32" s="1">
        <v>0.52059027777777778</v>
      </c>
      <c r="N32" s="1" t="s">
        <v>54</v>
      </c>
      <c r="O32" s="1" t="s">
        <v>33</v>
      </c>
      <c r="P32" s="1" t="s">
        <v>55</v>
      </c>
      <c r="S32" s="1">
        <v>1.96759259259216E-4</v>
      </c>
      <c r="T32" s="1">
        <v>1.1111111111110628E-3</v>
      </c>
      <c r="U32" s="1">
        <v>1.3425925925926174E-3</v>
      </c>
      <c r="V32" s="1">
        <v>3.5300925925926263E-3</v>
      </c>
      <c r="W32" s="1">
        <v>3.1018518518518556E-3</v>
      </c>
      <c r="X32" s="1">
        <v>1.2326388888888928E-2</v>
      </c>
      <c r="Y32" s="1">
        <v>1.4340277777777799E-2</v>
      </c>
      <c r="Z32" s="1">
        <v>1.749999999999996E-2</v>
      </c>
    </row>
    <row r="33" spans="1:26" x14ac:dyDescent="0.25">
      <c r="A33">
        <v>1</v>
      </c>
      <c r="B33" t="s">
        <v>444</v>
      </c>
      <c r="C33" t="s">
        <v>456</v>
      </c>
      <c r="D33">
        <v>2018</v>
      </c>
      <c r="E33" s="1">
        <v>0.47870370370370369</v>
      </c>
      <c r="F33" s="1">
        <v>0.47917824074074072</v>
      </c>
      <c r="G33" s="1">
        <v>0.48342592592592593</v>
      </c>
      <c r="H33" s="1">
        <v>0.48504629629629631</v>
      </c>
      <c r="I33" s="1">
        <v>0.4841435185185185</v>
      </c>
      <c r="J33" s="1">
        <v>0.48986111111111114</v>
      </c>
      <c r="K33" s="1">
        <v>0.49388888888888888</v>
      </c>
      <c r="L33" s="1">
        <v>0.49702546296296296</v>
      </c>
      <c r="M33" s="1">
        <v>0.4989351851851852</v>
      </c>
      <c r="N33" s="1" t="s">
        <v>491</v>
      </c>
      <c r="O33" s="1" t="s">
        <v>33</v>
      </c>
      <c r="P33" s="1" t="s">
        <v>169</v>
      </c>
      <c r="S33" s="1">
        <v>4.745370370370372E-4</v>
      </c>
      <c r="T33" s="1">
        <v>4.2476851851852016E-3</v>
      </c>
      <c r="U33" s="1">
        <v>7.1759259259257524E-4</v>
      </c>
      <c r="V33" s="1">
        <v>1.6203703703703831E-3</v>
      </c>
      <c r="W33" s="1">
        <v>4.8148148148148273E-3</v>
      </c>
      <c r="X33" s="1">
        <v>9.7453703703703765E-3</v>
      </c>
      <c r="Y33" s="1">
        <v>1.3599537037037035E-2</v>
      </c>
      <c r="Z33" s="1">
        <v>2.0231481481481517E-2</v>
      </c>
    </row>
    <row r="34" spans="1:26" x14ac:dyDescent="0.25">
      <c r="A34">
        <v>4</v>
      </c>
      <c r="B34" t="s">
        <v>390</v>
      </c>
      <c r="C34" t="s">
        <v>492</v>
      </c>
      <c r="D34">
        <v>2007</v>
      </c>
      <c r="E34" s="1">
        <v>0.479375</v>
      </c>
      <c r="F34" s="1">
        <v>0.47965277777777776</v>
      </c>
      <c r="G34" s="1">
        <v>0.48525462962962962</v>
      </c>
      <c r="H34" s="1">
        <v>0.49302083333333335</v>
      </c>
      <c r="I34" s="1">
        <v>0.48601851851851852</v>
      </c>
      <c r="J34" s="1">
        <v>0.49302083333333335</v>
      </c>
      <c r="K34" s="1">
        <v>0.50193287037037038</v>
      </c>
      <c r="L34" s="1">
        <v>0.50254629629629632</v>
      </c>
      <c r="M34" s="1">
        <v>0.7207175925925926</v>
      </c>
      <c r="N34" s="1" t="s">
        <v>493</v>
      </c>
      <c r="O34" s="1" t="s">
        <v>33</v>
      </c>
      <c r="P34" s="1" t="s">
        <v>55</v>
      </c>
      <c r="S34" s="1">
        <v>2.7777777777776569E-4</v>
      </c>
      <c r="T34" s="1">
        <v>5.6018518518518579E-3</v>
      </c>
      <c r="U34" s="1">
        <v>7.6388888888889728E-4</v>
      </c>
      <c r="V34" s="1">
        <v>7.7662037037037335E-3</v>
      </c>
      <c r="W34" s="1">
        <v>0</v>
      </c>
      <c r="X34" s="1">
        <v>1.591435185185186E-2</v>
      </c>
      <c r="Y34" s="1">
        <v>1.7291666666666705E-2</v>
      </c>
      <c r="Z34" s="1">
        <v>0.24134259259259261</v>
      </c>
    </row>
    <row r="35" spans="1:26" x14ac:dyDescent="0.25">
      <c r="A35">
        <v>1</v>
      </c>
      <c r="B35" t="s">
        <v>393</v>
      </c>
      <c r="C35" t="s">
        <v>495</v>
      </c>
      <c r="D35">
        <v>2012</v>
      </c>
      <c r="E35" s="1">
        <v>0.49062499999999998</v>
      </c>
      <c r="F35" s="1">
        <v>0.4911226851851852</v>
      </c>
      <c r="G35" s="1">
        <v>0.49917824074074074</v>
      </c>
      <c r="H35" s="1">
        <v>0.50468749999999996</v>
      </c>
      <c r="I35" s="1">
        <v>0.5007638888888889</v>
      </c>
      <c r="J35" s="1">
        <v>0.5075115740740741</v>
      </c>
      <c r="K35" s="1">
        <v>0.51145833333333335</v>
      </c>
      <c r="L35" s="1">
        <v>0.5181365740740741</v>
      </c>
      <c r="M35" s="1">
        <v>0.51927083333333335</v>
      </c>
      <c r="N35" s="1" t="s">
        <v>496</v>
      </c>
      <c r="O35" s="1" t="s">
        <v>33</v>
      </c>
      <c r="P35" s="1" t="s">
        <v>55</v>
      </c>
      <c r="S35" s="1">
        <v>4.9768518518522598E-4</v>
      </c>
      <c r="T35" s="1">
        <v>8.055555555555538E-3</v>
      </c>
      <c r="U35" s="1">
        <v>1.5856481481481555E-3</v>
      </c>
      <c r="V35" s="1">
        <v>5.5092592592592138E-3</v>
      </c>
      <c r="W35" s="1">
        <v>2.8240740740741455E-3</v>
      </c>
      <c r="X35" s="1">
        <v>1.0694444444444451E-2</v>
      </c>
      <c r="Y35" s="1">
        <v>1.8958333333333355E-2</v>
      </c>
      <c r="Z35" s="1">
        <v>2.864583333333337E-2</v>
      </c>
    </row>
    <row r="36" spans="1:26" x14ac:dyDescent="0.25">
      <c r="A36">
        <v>2</v>
      </c>
      <c r="B36" t="s">
        <v>393</v>
      </c>
      <c r="C36" t="s">
        <v>500</v>
      </c>
      <c r="D36">
        <v>2019</v>
      </c>
      <c r="E36" s="1">
        <v>0.56873842592592594</v>
      </c>
      <c r="F36" s="1">
        <v>0.56903935185185184</v>
      </c>
      <c r="G36" s="1">
        <v>0.5708333333333333</v>
      </c>
      <c r="H36" s="1">
        <v>0.57370370370370372</v>
      </c>
      <c r="I36" s="1">
        <v>0.57203703703703701</v>
      </c>
      <c r="J36" s="1">
        <v>0.57451388888888888</v>
      </c>
      <c r="K36" s="1">
        <v>0.57718749999999996</v>
      </c>
      <c r="L36" s="1">
        <v>0.578587962962963</v>
      </c>
      <c r="M36" s="1">
        <v>0.58078703703703705</v>
      </c>
      <c r="N36" s="1" t="s">
        <v>54</v>
      </c>
      <c r="O36" s="1" t="s">
        <v>33</v>
      </c>
      <c r="P36" s="1" t="s">
        <v>55</v>
      </c>
      <c r="S36" s="1">
        <v>3.0092592592589895E-4</v>
      </c>
      <c r="T36" s="1">
        <v>1.7939814814814659E-3</v>
      </c>
      <c r="U36" s="1">
        <v>1.2037037037037068E-3</v>
      </c>
      <c r="V36" s="1">
        <v>2.870370370370412E-3</v>
      </c>
      <c r="W36" s="1">
        <v>8.101851851851638E-4</v>
      </c>
      <c r="X36" s="1">
        <v>5.1504629629629539E-3</v>
      </c>
      <c r="Y36" s="1">
        <v>7.7546296296296946E-3</v>
      </c>
      <c r="Z36" s="1">
        <v>1.2048611111111107E-2</v>
      </c>
    </row>
    <row r="37" spans="1:26" x14ac:dyDescent="0.25">
      <c r="A37">
        <v>1</v>
      </c>
      <c r="B37" t="s">
        <v>387</v>
      </c>
      <c r="C37" t="s">
        <v>501</v>
      </c>
      <c r="D37">
        <v>2020</v>
      </c>
      <c r="E37" s="1">
        <v>0.58799768518518514</v>
      </c>
      <c r="F37" s="1">
        <v>0.5882060185185185</v>
      </c>
      <c r="G37" s="1">
        <v>0.58878472222222222</v>
      </c>
      <c r="H37" s="1">
        <v>0.59087962962962959</v>
      </c>
      <c r="I37" s="1">
        <v>0.58945601851851848</v>
      </c>
      <c r="J37" s="1">
        <v>0.5926851851851852</v>
      </c>
      <c r="K37" s="1">
        <v>0.59621527777777783</v>
      </c>
      <c r="L37" s="1">
        <v>0.60056712962962966</v>
      </c>
      <c r="M37" s="1">
        <v>0.60196759259259258</v>
      </c>
      <c r="N37" s="1" t="s">
        <v>291</v>
      </c>
      <c r="O37" s="1" t="s">
        <v>33</v>
      </c>
      <c r="P37" s="1" t="s">
        <v>379</v>
      </c>
      <c r="S37" s="1">
        <v>2.083333333333659E-4</v>
      </c>
      <c r="T37" s="1">
        <v>5.7870370370372015E-4</v>
      </c>
      <c r="U37" s="1">
        <v>6.712962962962532E-4</v>
      </c>
      <c r="V37" s="1">
        <v>2.0949074074073648E-3</v>
      </c>
      <c r="W37" s="1">
        <v>1.8055555555556158E-3</v>
      </c>
      <c r="X37" s="1">
        <v>6.7592592592593537E-3</v>
      </c>
      <c r="Y37" s="1">
        <v>1.1782407407407436E-2</v>
      </c>
      <c r="Z37" s="1">
        <v>1.3969907407407445E-2</v>
      </c>
    </row>
    <row r="38" spans="1:26" x14ac:dyDescent="0.25">
      <c r="A38">
        <v>1</v>
      </c>
      <c r="B38" t="s">
        <v>15</v>
      </c>
      <c r="C38" t="s">
        <v>502</v>
      </c>
      <c r="D38">
        <v>2004</v>
      </c>
      <c r="E38" s="1">
        <v>0.63021990740740741</v>
      </c>
      <c r="F38" s="1">
        <v>0.630462962962963</v>
      </c>
      <c r="G38" s="1">
        <v>0.63120370370370371</v>
      </c>
      <c r="H38" s="1">
        <v>0.63408564814814816</v>
      </c>
      <c r="I38" s="1">
        <v>0.63211805555555556</v>
      </c>
      <c r="J38" s="1">
        <v>0.63703703703703707</v>
      </c>
      <c r="K38" s="1">
        <v>0.64090277777777782</v>
      </c>
      <c r="L38" s="1">
        <v>0.64959490740740744</v>
      </c>
      <c r="M38" s="1">
        <v>0.6519907407407407</v>
      </c>
      <c r="N38" s="1" t="s">
        <v>503</v>
      </c>
      <c r="O38" s="1" t="s">
        <v>33</v>
      </c>
      <c r="P38" s="1" t="s">
        <v>169</v>
      </c>
      <c r="S38" s="1">
        <v>2.4305555555559355E-4</v>
      </c>
      <c r="T38" s="1">
        <v>7.407407407407085E-4</v>
      </c>
      <c r="U38" s="1">
        <v>9.1435185185184675E-4</v>
      </c>
      <c r="V38" s="1">
        <v>2.8819444444444509E-3</v>
      </c>
      <c r="W38" s="1">
        <v>2.9513888888889062E-3</v>
      </c>
      <c r="X38" s="1">
        <v>8.7847222222222632E-3</v>
      </c>
      <c r="Y38" s="1">
        <v>1.8391203703703729E-2</v>
      </c>
      <c r="Z38" s="1">
        <v>2.1770833333333295E-2</v>
      </c>
    </row>
    <row r="39" spans="1:26" x14ac:dyDescent="0.25">
      <c r="A39">
        <v>2</v>
      </c>
      <c r="B39" t="s">
        <v>14</v>
      </c>
      <c r="C39" t="s">
        <v>28</v>
      </c>
      <c r="D39">
        <v>2015</v>
      </c>
      <c r="E39" s="1">
        <v>0.65413194444444445</v>
      </c>
      <c r="F39" s="1">
        <v>0.65439814814814812</v>
      </c>
      <c r="G39" s="1">
        <v>0.6552662037037037</v>
      </c>
      <c r="H39" s="1">
        <v>0.65866898148148145</v>
      </c>
      <c r="I39" s="1">
        <v>0.65635416666666668</v>
      </c>
      <c r="J39" s="1">
        <v>0.66281250000000003</v>
      </c>
      <c r="K39" s="1">
        <v>0.66454861111111108</v>
      </c>
      <c r="L39" s="1">
        <v>0.66498842592592589</v>
      </c>
      <c r="M39" s="1">
        <v>0.66593749999999996</v>
      </c>
      <c r="N39" s="1" t="s">
        <v>421</v>
      </c>
      <c r="O39" s="1" t="s">
        <v>33</v>
      </c>
      <c r="P39" s="1" t="s">
        <v>169</v>
      </c>
      <c r="S39" s="1">
        <v>2.662037037036713E-4</v>
      </c>
      <c r="T39" s="1">
        <v>8.6805555555558023E-4</v>
      </c>
      <c r="U39" s="1">
        <v>1.087962962962985E-3</v>
      </c>
      <c r="V39" s="1">
        <v>3.4027777777777546E-3</v>
      </c>
      <c r="W39" s="1">
        <v>4.1435185185185741E-3</v>
      </c>
      <c r="X39" s="1">
        <v>8.1944444444443931E-3</v>
      </c>
      <c r="Y39" s="1">
        <v>9.7222222222221877E-3</v>
      </c>
      <c r="Z39" s="1">
        <v>1.1805555555555514E-2</v>
      </c>
    </row>
    <row r="40" spans="1:26" x14ac:dyDescent="0.25">
      <c r="A40">
        <v>2</v>
      </c>
      <c r="B40" t="s">
        <v>14</v>
      </c>
      <c r="C40" t="s">
        <v>28</v>
      </c>
      <c r="D40">
        <v>2005</v>
      </c>
      <c r="E40" s="1">
        <v>0.75335648148148149</v>
      </c>
      <c r="F40" s="1">
        <v>0.75387731481481479</v>
      </c>
      <c r="G40" s="1">
        <v>0.76121527777777775</v>
      </c>
      <c r="H40" s="1">
        <v>0.76402777777777775</v>
      </c>
      <c r="I40" s="1">
        <v>0.76181712962962966</v>
      </c>
      <c r="J40" s="1">
        <v>0.76675925925925925</v>
      </c>
      <c r="K40" s="1">
        <v>0.76984953703703707</v>
      </c>
      <c r="L40" s="1">
        <v>0.77049768518518513</v>
      </c>
      <c r="M40" s="1">
        <v>0.77114583333333331</v>
      </c>
      <c r="N40" s="1" t="s">
        <v>54</v>
      </c>
      <c r="O40" s="1" t="s">
        <v>33</v>
      </c>
      <c r="P40" s="1" t="s">
        <v>169</v>
      </c>
      <c r="S40" s="1">
        <v>5.2083333333330373E-4</v>
      </c>
      <c r="T40" s="1">
        <v>7.3379629629629628E-3</v>
      </c>
      <c r="U40" s="1">
        <v>6.0185185185190893E-4</v>
      </c>
      <c r="V40" s="1">
        <v>2.8124999999999956E-3</v>
      </c>
      <c r="W40" s="1">
        <v>2.7314814814815014E-3</v>
      </c>
      <c r="X40" s="1">
        <v>8.0324074074074048E-3</v>
      </c>
      <c r="Y40" s="1">
        <v>9.2824074074073781E-3</v>
      </c>
      <c r="Z40" s="1">
        <v>1.778935185185182E-2</v>
      </c>
    </row>
    <row r="41" spans="1:26" x14ac:dyDescent="0.25">
      <c r="A41">
        <v>3</v>
      </c>
      <c r="B41" t="s">
        <v>359</v>
      </c>
      <c r="C41" t="s">
        <v>511</v>
      </c>
      <c r="D41">
        <v>2009</v>
      </c>
      <c r="E41" s="1">
        <v>0.76157407407407407</v>
      </c>
      <c r="F41" s="1">
        <v>0.76172453703703702</v>
      </c>
      <c r="G41" s="1">
        <v>0.76340277777777776</v>
      </c>
      <c r="H41" s="1">
        <v>0.76968749999999997</v>
      </c>
      <c r="I41" s="1">
        <v>0.76476851851851857</v>
      </c>
      <c r="J41" s="1">
        <v>0.77359953703703699</v>
      </c>
      <c r="K41" s="1">
        <v>0.77628472222222222</v>
      </c>
      <c r="L41" s="1">
        <v>0.77855324074074073</v>
      </c>
      <c r="M41" s="1">
        <v>0.78023148148148147</v>
      </c>
      <c r="N41" s="1" t="s">
        <v>54</v>
      </c>
      <c r="O41" s="1" t="s">
        <v>33</v>
      </c>
      <c r="P41" s="1" t="s">
        <v>55</v>
      </c>
      <c r="S41" s="1">
        <v>1.5046296296294948E-4</v>
      </c>
      <c r="T41" s="1">
        <v>1.678240740740744E-3</v>
      </c>
      <c r="U41" s="1">
        <v>1.3657407407408062E-3</v>
      </c>
      <c r="V41" s="1">
        <v>6.2847222222222054E-3</v>
      </c>
      <c r="W41" s="1">
        <v>3.9120370370370194E-3</v>
      </c>
      <c r="X41" s="1">
        <v>1.1516203703703654E-2</v>
      </c>
      <c r="Y41" s="1">
        <v>1.5150462962962963E-2</v>
      </c>
      <c r="Z41" s="1">
        <v>1.86574074074074E-2</v>
      </c>
    </row>
    <row r="42" spans="1:26" x14ac:dyDescent="0.25">
      <c r="A42">
        <v>1</v>
      </c>
      <c r="B42" t="s">
        <v>38</v>
      </c>
      <c r="C42" t="s">
        <v>435</v>
      </c>
      <c r="D42">
        <v>2017</v>
      </c>
      <c r="E42" s="1">
        <v>0.46005787037037038</v>
      </c>
      <c r="F42" s="1">
        <v>0.46035879629629628</v>
      </c>
      <c r="G42" s="1">
        <v>0.46162037037037035</v>
      </c>
      <c r="H42" s="1">
        <v>0.46336805555555555</v>
      </c>
      <c r="I42" s="1">
        <v>0.46236111111111111</v>
      </c>
      <c r="J42" s="1">
        <v>0.46457175925925925</v>
      </c>
      <c r="K42" s="1">
        <v>0.46590277777777778</v>
      </c>
      <c r="L42" s="1">
        <v>0.4667013888888889</v>
      </c>
      <c r="M42" s="1">
        <v>0.46726851851851853</v>
      </c>
      <c r="N42" s="1" t="s">
        <v>54</v>
      </c>
      <c r="O42" s="1" t="s">
        <v>33</v>
      </c>
      <c r="P42" s="1" t="s">
        <v>55</v>
      </c>
      <c r="S42" s="1">
        <v>3.0092592592589895E-4</v>
      </c>
      <c r="T42" s="1">
        <v>1.2615740740740677E-3</v>
      </c>
      <c r="U42" s="1">
        <v>7.4074074074076401E-4</v>
      </c>
      <c r="V42" s="1">
        <v>1.7476851851851993E-3</v>
      </c>
      <c r="W42" s="1">
        <v>1.2037037037037068E-3</v>
      </c>
      <c r="X42" s="1">
        <v>3.5416666666666652E-3</v>
      </c>
      <c r="Y42" s="1">
        <v>5.0810185185185541E-3</v>
      </c>
      <c r="Z42" s="1">
        <v>7.2106481481481466E-3</v>
      </c>
    </row>
    <row r="43" spans="1:26" x14ac:dyDescent="0.25">
      <c r="A43">
        <v>2</v>
      </c>
      <c r="B43" t="s">
        <v>250</v>
      </c>
      <c r="C43" t="s">
        <v>512</v>
      </c>
      <c r="D43">
        <v>2003</v>
      </c>
      <c r="E43" s="1">
        <v>0.46484953703703702</v>
      </c>
      <c r="F43" s="1">
        <v>0.46505787037037039</v>
      </c>
      <c r="G43" s="1">
        <v>0.46557870370370369</v>
      </c>
      <c r="H43" s="1">
        <v>0.4748263888888889</v>
      </c>
      <c r="I43" s="1">
        <v>0.47312500000000002</v>
      </c>
      <c r="J43" s="1">
        <v>0.47680555555555554</v>
      </c>
      <c r="K43" s="1">
        <v>0.48760416666666667</v>
      </c>
      <c r="L43" s="1">
        <v>0.48797453703703703</v>
      </c>
      <c r="M43" s="1">
        <v>0.48873842592592592</v>
      </c>
      <c r="N43" s="1" t="s">
        <v>513</v>
      </c>
      <c r="O43" s="1" t="s">
        <v>33</v>
      </c>
      <c r="P43" s="1" t="s">
        <v>55</v>
      </c>
      <c r="S43" s="1">
        <v>2.083333333333659E-4</v>
      </c>
      <c r="T43" s="1">
        <v>5.2083333333330373E-4</v>
      </c>
      <c r="U43" s="1">
        <v>7.5462962962963287E-3</v>
      </c>
      <c r="V43" s="1">
        <v>9.247685185185206E-3</v>
      </c>
      <c r="W43" s="1">
        <v>1.979166666666643E-3</v>
      </c>
      <c r="X43" s="1">
        <v>1.4479166666666654E-2</v>
      </c>
      <c r="Y43" s="1">
        <v>2.2395833333333337E-2</v>
      </c>
      <c r="Z43" s="1">
        <v>2.3888888888888904E-2</v>
      </c>
    </row>
    <row r="44" spans="1:26" x14ac:dyDescent="0.25">
      <c r="A44">
        <v>3</v>
      </c>
      <c r="B44" t="s">
        <v>515</v>
      </c>
      <c r="C44" t="s">
        <v>516</v>
      </c>
      <c r="D44">
        <v>2017</v>
      </c>
      <c r="E44" s="1">
        <v>0.47905092592592591</v>
      </c>
      <c r="F44" s="1">
        <v>0.47928240740740741</v>
      </c>
      <c r="G44" s="1">
        <v>0.48018518518518516</v>
      </c>
      <c r="H44" s="1">
        <v>0.48334490740740743</v>
      </c>
      <c r="I44" s="1">
        <v>0.48133101851851851</v>
      </c>
      <c r="J44" s="1">
        <v>0.48431712962962964</v>
      </c>
      <c r="K44" s="1">
        <v>0.48774305555555558</v>
      </c>
      <c r="L44" s="1">
        <v>0.4891550925925926</v>
      </c>
      <c r="M44" s="1">
        <v>0.49053240740740739</v>
      </c>
      <c r="N44" s="1" t="s">
        <v>54</v>
      </c>
      <c r="O44" s="1" t="s">
        <v>33</v>
      </c>
      <c r="P44" s="1" t="s">
        <v>169</v>
      </c>
      <c r="S44" s="1">
        <v>2.3148148148149916E-4</v>
      </c>
      <c r="T44" s="1">
        <v>9.0277777777775237E-4</v>
      </c>
      <c r="U44" s="1">
        <v>1.1458333333333459E-3</v>
      </c>
      <c r="V44" s="1">
        <v>3.1597222222222721E-3</v>
      </c>
      <c r="W44" s="1">
        <v>9.7222222222220767E-4</v>
      </c>
      <c r="X44" s="1">
        <v>6.4120370370370772E-3</v>
      </c>
      <c r="Y44" s="1">
        <v>8.9699074074074403E-3</v>
      </c>
      <c r="Z44" s="1">
        <v>1.1481481481481481E-2</v>
      </c>
    </row>
    <row r="45" spans="1:26" x14ac:dyDescent="0.25">
      <c r="A45">
        <v>3</v>
      </c>
      <c r="B45" t="s">
        <v>376</v>
      </c>
      <c r="C45" t="s">
        <v>520</v>
      </c>
      <c r="D45">
        <v>2019</v>
      </c>
      <c r="E45" s="1">
        <v>0.51172453703703702</v>
      </c>
      <c r="F45" s="1">
        <v>0.51199074074074069</v>
      </c>
      <c r="G45" s="1">
        <v>0.51275462962962959</v>
      </c>
      <c r="H45" s="1">
        <v>0.5174305555555555</v>
      </c>
      <c r="I45" s="1">
        <v>0.51355324074074071</v>
      </c>
      <c r="J45" s="1">
        <v>0.51921296296296293</v>
      </c>
      <c r="K45" s="1">
        <v>0.5277546296296296</v>
      </c>
      <c r="L45" s="1">
        <v>0.5285185185185185</v>
      </c>
      <c r="M45" s="1">
        <v>0.53144675925925922</v>
      </c>
      <c r="N45" s="1" t="s">
        <v>54</v>
      </c>
      <c r="O45" s="1" t="s">
        <v>33</v>
      </c>
      <c r="P45" s="1" t="s">
        <v>379</v>
      </c>
      <c r="S45" s="1">
        <v>2.662037037036713E-4</v>
      </c>
      <c r="T45" s="1">
        <v>7.6388888888889728E-4</v>
      </c>
      <c r="U45" s="1">
        <v>7.9861111111112493E-4</v>
      </c>
      <c r="V45" s="1">
        <v>4.6759259259259167E-3</v>
      </c>
      <c r="W45" s="1">
        <v>1.782407407407427E-3</v>
      </c>
      <c r="X45" s="1">
        <v>1.4201388888888888E-2</v>
      </c>
      <c r="Y45" s="1">
        <v>1.5763888888888911E-2</v>
      </c>
      <c r="Z45" s="1">
        <v>1.9722222222222197E-2</v>
      </c>
    </row>
    <row r="46" spans="1:26" x14ac:dyDescent="0.25">
      <c r="A46">
        <v>4</v>
      </c>
      <c r="B46" t="s">
        <v>250</v>
      </c>
      <c r="C46" t="s">
        <v>522</v>
      </c>
      <c r="D46">
        <v>2001</v>
      </c>
      <c r="E46" s="1">
        <v>0.52854166666666669</v>
      </c>
      <c r="F46" s="1">
        <v>0.52871527777777783</v>
      </c>
      <c r="G46" s="1">
        <v>0.53062500000000001</v>
      </c>
      <c r="H46" s="1">
        <v>0.53641203703703699</v>
      </c>
      <c r="I46" s="1">
        <v>0.53296296296296297</v>
      </c>
      <c r="J46" s="1">
        <v>0.53896990740740736</v>
      </c>
      <c r="K46" s="1">
        <v>0.54503472222222227</v>
      </c>
      <c r="L46" s="1">
        <v>0.54530092592592594</v>
      </c>
      <c r="M46" s="1">
        <v>0.54650462962962965</v>
      </c>
      <c r="N46" s="1" t="s">
        <v>54</v>
      </c>
      <c r="O46" s="1" t="s">
        <v>33</v>
      </c>
      <c r="P46" s="1" t="s">
        <v>55</v>
      </c>
      <c r="S46" s="1">
        <v>1.7361111111113825E-4</v>
      </c>
      <c r="T46" s="1">
        <v>1.9097222222221877E-3</v>
      </c>
      <c r="U46" s="1">
        <v>2.3379629629629584E-3</v>
      </c>
      <c r="V46" s="1">
        <v>5.7870370370369795E-3</v>
      </c>
      <c r="W46" s="1">
        <v>2.5578703703703631E-3</v>
      </c>
      <c r="X46" s="1">
        <v>1.2071759259259296E-2</v>
      </c>
      <c r="Y46" s="1">
        <v>1.4675925925925926E-2</v>
      </c>
      <c r="Z46" s="1">
        <v>1.7962962962962958E-2</v>
      </c>
    </row>
    <row r="47" spans="1:26" x14ac:dyDescent="0.25">
      <c r="A47">
        <v>3</v>
      </c>
      <c r="B47" t="s">
        <v>8</v>
      </c>
      <c r="C47" t="s">
        <v>495</v>
      </c>
      <c r="D47">
        <v>2010</v>
      </c>
      <c r="E47" s="1">
        <v>0.53498842592592588</v>
      </c>
      <c r="F47" s="1">
        <v>0.5365509259259259</v>
      </c>
      <c r="G47" s="1">
        <v>0.54009259259259257</v>
      </c>
      <c r="H47" s="1">
        <v>0.54766203703703709</v>
      </c>
      <c r="I47" s="1">
        <v>0.54116898148148151</v>
      </c>
      <c r="J47" s="1">
        <v>0.55115740740740737</v>
      </c>
      <c r="K47" s="1">
        <v>0.55538194444444444</v>
      </c>
      <c r="L47" s="1">
        <v>0.55556712962962962</v>
      </c>
      <c r="M47" s="1">
        <v>0.55746527777777777</v>
      </c>
      <c r="N47" s="1" t="s">
        <v>518</v>
      </c>
      <c r="O47" s="1" t="s">
        <v>33</v>
      </c>
      <c r="P47" s="1" t="s">
        <v>55</v>
      </c>
      <c r="S47" s="1">
        <v>1.5625000000000222E-3</v>
      </c>
      <c r="T47" s="1">
        <v>3.5416666666666652E-3</v>
      </c>
      <c r="U47" s="1">
        <v>1.0763888888889461E-3</v>
      </c>
      <c r="V47" s="1">
        <v>7.5694444444445175E-3</v>
      </c>
      <c r="W47" s="1">
        <v>3.4953703703702876E-3</v>
      </c>
      <c r="X47" s="1">
        <v>1.4212962962962927E-2</v>
      </c>
      <c r="Y47" s="1">
        <v>1.5474537037037051E-2</v>
      </c>
      <c r="Z47" s="1">
        <v>2.2476851851851887E-2</v>
      </c>
    </row>
    <row r="48" spans="1:26" x14ac:dyDescent="0.25">
      <c r="A48">
        <v>3</v>
      </c>
      <c r="B48" t="s">
        <v>14</v>
      </c>
      <c r="C48" t="s">
        <v>465</v>
      </c>
      <c r="D48">
        <v>2009</v>
      </c>
      <c r="E48" s="1">
        <v>0.57567129629629632</v>
      </c>
      <c r="F48" s="1">
        <v>0.57584490740740746</v>
      </c>
      <c r="G48" s="1">
        <v>0.57697916666666671</v>
      </c>
      <c r="H48" s="1">
        <v>0.58027777777777778</v>
      </c>
      <c r="I48" s="1">
        <v>0.57850694444444439</v>
      </c>
      <c r="J48" s="1">
        <v>0.58268518518518519</v>
      </c>
      <c r="K48" s="1">
        <v>0.58579861111111109</v>
      </c>
      <c r="L48" s="1">
        <v>0.58740740740740738</v>
      </c>
      <c r="M48" s="1">
        <v>0.58848379629629632</v>
      </c>
      <c r="N48" s="1" t="s">
        <v>524</v>
      </c>
      <c r="O48" s="1" t="s">
        <v>33</v>
      </c>
      <c r="P48" s="1" t="s">
        <v>169</v>
      </c>
      <c r="S48" s="1">
        <v>1.7361111111113825E-4</v>
      </c>
      <c r="T48" s="1">
        <v>1.1342592592592515E-3</v>
      </c>
      <c r="U48" s="1">
        <v>1.5277777777776835E-3</v>
      </c>
      <c r="V48" s="1">
        <v>3.2986111111110716E-3</v>
      </c>
      <c r="W48" s="1">
        <v>2.4074074074074137E-3</v>
      </c>
      <c r="X48" s="1">
        <v>7.2916666666666963E-3</v>
      </c>
      <c r="Y48" s="1">
        <v>1.0428240740740669E-2</v>
      </c>
      <c r="Z48" s="1">
        <v>1.2812500000000004E-2</v>
      </c>
    </row>
    <row r="49" spans="1:26" x14ac:dyDescent="0.25">
      <c r="A49">
        <v>3</v>
      </c>
      <c r="B49" t="s">
        <v>38</v>
      </c>
      <c r="C49" t="s">
        <v>435</v>
      </c>
      <c r="D49">
        <v>2014</v>
      </c>
      <c r="E49" s="1">
        <v>0.601099537037037</v>
      </c>
      <c r="F49" s="1">
        <v>0.60121527777777772</v>
      </c>
      <c r="G49" s="1">
        <v>0.60409722222222217</v>
      </c>
      <c r="H49" s="1">
        <v>0.60946759259259264</v>
      </c>
      <c r="I49" s="1">
        <v>0.60481481481481481</v>
      </c>
      <c r="J49" s="1">
        <v>0.61223379629629626</v>
      </c>
      <c r="K49" s="1">
        <v>0.62072916666666667</v>
      </c>
      <c r="L49" s="1">
        <v>0.62105324074074075</v>
      </c>
      <c r="M49" s="1">
        <v>0.62333333333333329</v>
      </c>
      <c r="N49" s="1" t="s">
        <v>529</v>
      </c>
      <c r="O49" s="1" t="s">
        <v>33</v>
      </c>
      <c r="P49" s="1" t="s">
        <v>55</v>
      </c>
      <c r="S49" s="1">
        <v>1.1574074074072183E-4</v>
      </c>
      <c r="T49" s="1">
        <v>2.8819444444444509E-3</v>
      </c>
      <c r="U49" s="1">
        <v>7.1759259259263075E-4</v>
      </c>
      <c r="V49" s="1">
        <v>5.3703703703704697E-3</v>
      </c>
      <c r="W49" s="1">
        <v>2.766203703703618E-3</v>
      </c>
      <c r="X49" s="1">
        <v>1.591435185185186E-2</v>
      </c>
      <c r="Y49" s="1">
        <v>1.6956018518518579E-2</v>
      </c>
      <c r="Z49" s="1">
        <v>2.2233796296296293E-2</v>
      </c>
    </row>
    <row r="50" spans="1:26" x14ac:dyDescent="0.25">
      <c r="A50">
        <v>1</v>
      </c>
      <c r="B50" t="s">
        <v>15</v>
      </c>
      <c r="C50" t="s">
        <v>502</v>
      </c>
      <c r="D50">
        <v>2014</v>
      </c>
      <c r="E50" s="1">
        <v>0.64729166666666671</v>
      </c>
      <c r="F50" s="1">
        <v>0.64746527777777774</v>
      </c>
      <c r="G50" s="1">
        <v>0.64855324074074072</v>
      </c>
      <c r="H50" s="1">
        <v>0.65011574074074074</v>
      </c>
      <c r="I50" s="1">
        <v>0.64916666666666667</v>
      </c>
      <c r="J50" s="1">
        <v>0.65300925925925923</v>
      </c>
      <c r="K50" s="1">
        <v>0.66449074074074077</v>
      </c>
      <c r="L50" s="1">
        <v>0.66502314814814811</v>
      </c>
      <c r="M50" s="1">
        <v>0.6662731481481482</v>
      </c>
      <c r="N50" s="1" t="s">
        <v>532</v>
      </c>
      <c r="O50" s="1" t="s">
        <v>33</v>
      </c>
      <c r="P50" s="1" t="s">
        <v>169</v>
      </c>
      <c r="S50" s="1">
        <v>1.7361111111102723E-4</v>
      </c>
      <c r="T50" s="1">
        <v>1.087962962962985E-3</v>
      </c>
      <c r="U50" s="1">
        <v>6.134259259259478E-4</v>
      </c>
      <c r="V50" s="1">
        <v>1.5625000000000222E-3</v>
      </c>
      <c r="W50" s="1">
        <v>2.8935185185184897E-3</v>
      </c>
      <c r="X50" s="1">
        <v>1.5324074074074101E-2</v>
      </c>
      <c r="Y50" s="1">
        <v>1.6469907407407391E-2</v>
      </c>
      <c r="Z50" s="1">
        <v>1.8981481481481488E-2</v>
      </c>
    </row>
    <row r="51" spans="1:26" x14ac:dyDescent="0.25">
      <c r="A51">
        <v>1</v>
      </c>
      <c r="B51" t="s">
        <v>12</v>
      </c>
      <c r="C51" t="s">
        <v>535</v>
      </c>
      <c r="D51">
        <v>2017</v>
      </c>
      <c r="E51" s="1">
        <v>0.67833333333333334</v>
      </c>
      <c r="F51" s="1">
        <v>0.67853009259259256</v>
      </c>
      <c r="G51" s="1">
        <v>0.68012731481481481</v>
      </c>
      <c r="H51" s="1">
        <v>0.68181712962962959</v>
      </c>
      <c r="I51" s="1">
        <v>0.68076388888888884</v>
      </c>
      <c r="J51" s="1">
        <v>0.68407407407407406</v>
      </c>
      <c r="K51" s="1">
        <v>0.68656249999999996</v>
      </c>
      <c r="L51" s="1">
        <v>0.68693287037037032</v>
      </c>
      <c r="M51" s="1">
        <v>0.68800925925925926</v>
      </c>
      <c r="N51" s="1" t="s">
        <v>534</v>
      </c>
      <c r="O51" s="1" t="s">
        <v>33</v>
      </c>
      <c r="P51" s="1" t="s">
        <v>169</v>
      </c>
      <c r="S51" s="1">
        <v>1.96759259259216E-4</v>
      </c>
      <c r="T51" s="1">
        <v>1.5972222222222499E-3</v>
      </c>
      <c r="U51" s="1">
        <v>6.3657407407402555E-4</v>
      </c>
      <c r="V51" s="1">
        <v>1.6898148148147829E-3</v>
      </c>
      <c r="W51" s="1">
        <v>2.2569444444444642E-3</v>
      </c>
      <c r="X51" s="1">
        <v>5.7986111111111294E-3</v>
      </c>
      <c r="Y51" s="1">
        <v>6.8055555555555092E-3</v>
      </c>
      <c r="Z51" s="1">
        <v>9.6759259259259212E-3</v>
      </c>
    </row>
    <row r="52" spans="1:26" x14ac:dyDescent="0.25">
      <c r="A52">
        <v>1</v>
      </c>
      <c r="B52" t="s">
        <v>13</v>
      </c>
      <c r="C52" t="s">
        <v>404</v>
      </c>
      <c r="D52">
        <v>2018</v>
      </c>
      <c r="E52" s="1">
        <v>0.74768518518518523</v>
      </c>
      <c r="F52" s="1">
        <v>0.74777777777777776</v>
      </c>
      <c r="G52" s="1">
        <v>0.74814814814814812</v>
      </c>
      <c r="H52" s="1">
        <v>0.75012731481481476</v>
      </c>
      <c r="I52" s="1">
        <v>0.74866898148148153</v>
      </c>
      <c r="J52" s="1">
        <v>0.75150462962962961</v>
      </c>
      <c r="K52" s="1">
        <v>0.75383101851851853</v>
      </c>
      <c r="L52" s="1">
        <v>0.75532407407407409</v>
      </c>
      <c r="M52" s="1">
        <v>0.75649305555555557</v>
      </c>
      <c r="N52" s="1" t="s">
        <v>409</v>
      </c>
      <c r="O52" s="1" t="s">
        <v>33</v>
      </c>
      <c r="P52" s="1" t="s">
        <v>180</v>
      </c>
      <c r="S52" s="1">
        <v>9.2592592592533052E-5</v>
      </c>
      <c r="T52" s="1">
        <v>3.7037037037035425E-4</v>
      </c>
      <c r="U52" s="1">
        <v>5.2083333333341475E-4</v>
      </c>
      <c r="V52" s="1">
        <v>1.979166666666643E-3</v>
      </c>
      <c r="W52" s="1">
        <v>1.3773148148148451E-3</v>
      </c>
      <c r="X52" s="1">
        <v>5.1620370370369928E-3</v>
      </c>
      <c r="Y52" s="1">
        <v>7.1759259259259744E-3</v>
      </c>
      <c r="Z52" s="1">
        <v>8.8078703703703409E-3</v>
      </c>
    </row>
    <row r="53" spans="1:26" x14ac:dyDescent="0.25">
      <c r="A53">
        <v>1</v>
      </c>
      <c r="B53" t="s">
        <v>469</v>
      </c>
      <c r="C53" t="s">
        <v>501</v>
      </c>
      <c r="D53">
        <v>2016</v>
      </c>
      <c r="E53" s="1">
        <v>0.76983796296296292</v>
      </c>
      <c r="F53" s="1">
        <v>0.7699421296296296</v>
      </c>
      <c r="G53" s="1">
        <v>0.77046296296296302</v>
      </c>
      <c r="H53" s="1">
        <v>0.77254629629629634</v>
      </c>
      <c r="I53" s="1">
        <v>0.77109953703703704</v>
      </c>
      <c r="J53" s="1">
        <v>0.77370370370370367</v>
      </c>
      <c r="K53" s="1">
        <v>0.77888888888888885</v>
      </c>
      <c r="L53" s="1">
        <v>0.7805671296296296</v>
      </c>
      <c r="M53" s="1">
        <v>0.78138888888888891</v>
      </c>
      <c r="N53" s="1" t="s">
        <v>537</v>
      </c>
      <c r="O53" s="1" t="s">
        <v>33</v>
      </c>
      <c r="P53" s="1" t="s">
        <v>379</v>
      </c>
      <c r="S53" s="1">
        <v>1.0416666666668295E-4</v>
      </c>
      <c r="T53" s="1">
        <v>5.2083333333341475E-4</v>
      </c>
      <c r="U53" s="1">
        <v>6.3657407407402555E-4</v>
      </c>
      <c r="V53" s="1">
        <v>2.0833333333333259E-3</v>
      </c>
      <c r="W53" s="1">
        <v>1.1574074074073293E-3</v>
      </c>
      <c r="X53" s="1">
        <v>7.7893518518518112E-3</v>
      </c>
      <c r="Y53" s="1">
        <v>1.0104166666666581E-2</v>
      </c>
      <c r="Z53" s="1">
        <v>1.1550925925925992E-2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072F-CCCB-4178-82C2-77CA517E1B06}">
  <dimension ref="A1:Z119"/>
  <sheetViews>
    <sheetView workbookViewId="0">
      <selection activeCell="Z2" activeCellId="1" sqref="O2:O119 Z2:Z119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43</v>
      </c>
      <c r="N1" s="1" t="s">
        <v>44</v>
      </c>
      <c r="O1" s="1" t="s">
        <v>45</v>
      </c>
      <c r="P1" s="1" t="s">
        <v>46</v>
      </c>
      <c r="S1" s="1" t="s">
        <v>539</v>
      </c>
      <c r="T1" s="1" t="s">
        <v>540</v>
      </c>
      <c r="U1" s="1" t="s">
        <v>538</v>
      </c>
      <c r="V1" s="1" t="s">
        <v>541</v>
      </c>
      <c r="W1" s="1" t="s">
        <v>544</v>
      </c>
      <c r="X1" s="1" t="s">
        <v>542</v>
      </c>
      <c r="Y1" s="1" t="s">
        <v>545</v>
      </c>
      <c r="Z1" s="1" t="s">
        <v>543</v>
      </c>
    </row>
    <row r="2" spans="1:26" x14ac:dyDescent="0.25">
      <c r="A2">
        <v>2</v>
      </c>
      <c r="B2" t="s">
        <v>9</v>
      </c>
      <c r="C2" t="s">
        <v>18</v>
      </c>
      <c r="D2">
        <v>2017</v>
      </c>
      <c r="E2" s="1" t="s">
        <v>67</v>
      </c>
      <c r="F2" s="1" t="s">
        <v>68</v>
      </c>
      <c r="G2" s="1" t="s">
        <v>69</v>
      </c>
      <c r="H2" s="1" t="s">
        <v>70</v>
      </c>
      <c r="I2" s="1" t="s">
        <v>71</v>
      </c>
      <c r="J2" s="1" t="s">
        <v>72</v>
      </c>
      <c r="K2" s="1" t="s">
        <v>73</v>
      </c>
      <c r="L2" s="1" t="s">
        <v>74</v>
      </c>
      <c r="M2" s="1" t="s">
        <v>75</v>
      </c>
      <c r="N2" s="1" t="s">
        <v>54</v>
      </c>
      <c r="O2" s="1" t="s">
        <v>34</v>
      </c>
      <c r="P2" s="1" t="s">
        <v>55</v>
      </c>
      <c r="S2" s="1">
        <v>2.777777777778212E-4</v>
      </c>
      <c r="T2" s="1">
        <v>2.1064814814814037E-3</v>
      </c>
      <c r="U2" s="1">
        <v>1.0185185185185297E-3</v>
      </c>
      <c r="V2" s="1">
        <v>2.5925925925927018E-3</v>
      </c>
      <c r="W2" s="1">
        <v>5.8680555555554736E-3</v>
      </c>
      <c r="X2" s="1">
        <v>1.215277777777779E-2</v>
      </c>
      <c r="Y2" s="1">
        <v>1.4583333333333393E-2</v>
      </c>
      <c r="Z2" s="1">
        <v>1.8125000000000058E-2</v>
      </c>
    </row>
    <row r="3" spans="1:26" x14ac:dyDescent="0.25">
      <c r="A3">
        <v>1</v>
      </c>
      <c r="B3" t="s">
        <v>76</v>
      </c>
      <c r="C3" t="s">
        <v>23</v>
      </c>
      <c r="D3">
        <v>2019</v>
      </c>
      <c r="E3" s="1" t="s">
        <v>114</v>
      </c>
      <c r="F3" s="1" t="s">
        <v>115</v>
      </c>
      <c r="G3" s="1" t="s">
        <v>116</v>
      </c>
      <c r="H3" s="1" t="s">
        <v>117</v>
      </c>
      <c r="I3" s="1" t="s">
        <v>118</v>
      </c>
      <c r="J3" s="1" t="s">
        <v>119</v>
      </c>
      <c r="K3" s="1" t="s">
        <v>120</v>
      </c>
      <c r="L3" s="1" t="s">
        <v>121</v>
      </c>
      <c r="M3" s="1" t="s">
        <v>122</v>
      </c>
      <c r="N3" s="1" t="s">
        <v>123</v>
      </c>
      <c r="O3" s="1" t="s">
        <v>34</v>
      </c>
      <c r="P3" s="1" t="s">
        <v>55</v>
      </c>
      <c r="S3" s="1">
        <v>4.3981481481480955E-4</v>
      </c>
      <c r="T3" s="1">
        <v>1.0474537037037046E-2</v>
      </c>
      <c r="U3" s="1">
        <v>8.9120370370365798E-4</v>
      </c>
      <c r="V3" s="1">
        <v>3.4722222222222099E-3</v>
      </c>
      <c r="W3" s="1">
        <v>1.4583333333333393E-3</v>
      </c>
      <c r="X3" s="1">
        <v>2.1967592592592622E-2</v>
      </c>
      <c r="Y3" s="1">
        <v>2.5590277777777781E-2</v>
      </c>
      <c r="Z3" s="1">
        <v>3.7534722222222205E-2</v>
      </c>
    </row>
    <row r="4" spans="1:26" x14ac:dyDescent="0.25">
      <c r="A4">
        <v>3</v>
      </c>
      <c r="B4" t="s">
        <v>8</v>
      </c>
      <c r="C4" t="s">
        <v>24</v>
      </c>
      <c r="D4">
        <v>2016</v>
      </c>
      <c r="E4" s="1" t="s">
        <v>110</v>
      </c>
      <c r="F4" s="1" t="s">
        <v>134</v>
      </c>
      <c r="G4" s="1" t="s">
        <v>135</v>
      </c>
      <c r="H4" s="1" t="s">
        <v>136</v>
      </c>
      <c r="I4" s="1" t="s">
        <v>137</v>
      </c>
      <c r="J4" s="1" t="s">
        <v>138</v>
      </c>
      <c r="K4" s="1" t="s">
        <v>139</v>
      </c>
      <c r="L4" s="1" t="s">
        <v>140</v>
      </c>
      <c r="M4" s="1" t="s">
        <v>141</v>
      </c>
      <c r="N4" s="1" t="s">
        <v>142</v>
      </c>
      <c r="O4" s="1" t="s">
        <v>34</v>
      </c>
      <c r="P4" s="1" t="s">
        <v>55</v>
      </c>
      <c r="S4" s="1">
        <v>2.8935185185186008E-4</v>
      </c>
      <c r="T4" s="1">
        <v>1.0810185185185173E-2</v>
      </c>
      <c r="U4" s="1">
        <v>1.2499999999999734E-3</v>
      </c>
      <c r="V4" s="1">
        <v>3.2523148148148051E-3</v>
      </c>
      <c r="W4" s="1">
        <v>2.7314814814815014E-3</v>
      </c>
      <c r="X4" s="1">
        <v>7.0138888888889861E-3</v>
      </c>
      <c r="Y4" s="1">
        <v>1.5821759259259327E-2</v>
      </c>
      <c r="Z4" s="1">
        <v>2.7870370370370434E-2</v>
      </c>
    </row>
    <row r="5" spans="1:26" x14ac:dyDescent="0.25">
      <c r="A5">
        <v>1</v>
      </c>
      <c r="B5" t="s">
        <v>56</v>
      </c>
      <c r="C5" t="s">
        <v>25</v>
      </c>
      <c r="D5">
        <v>2018</v>
      </c>
      <c r="E5" s="1" t="s">
        <v>143</v>
      </c>
      <c r="F5" s="1" t="s">
        <v>144</v>
      </c>
      <c r="G5" s="1" t="s">
        <v>145</v>
      </c>
      <c r="H5" s="1" t="s">
        <v>146</v>
      </c>
      <c r="I5" s="1" t="s">
        <v>147</v>
      </c>
      <c r="J5" s="1">
        <v>0.6716550925925926</v>
      </c>
      <c r="K5" s="1">
        <v>0.67631944444444447</v>
      </c>
      <c r="L5" s="1">
        <v>0.67679398148148151</v>
      </c>
      <c r="M5" s="1">
        <v>0.73290509259259262</v>
      </c>
      <c r="N5" s="1" t="s">
        <v>54</v>
      </c>
      <c r="O5" s="1" t="s">
        <v>34</v>
      </c>
      <c r="P5" s="1" t="s">
        <v>55</v>
      </c>
      <c r="S5" s="1">
        <v>6.3657407407402555E-4</v>
      </c>
      <c r="T5" s="1">
        <v>1.5995370370370354E-2</v>
      </c>
      <c r="U5" s="1">
        <v>7.7546296296304718E-4</v>
      </c>
      <c r="V5" s="1">
        <v>3.3449074074074492E-3</v>
      </c>
      <c r="W5" s="1">
        <v>0</v>
      </c>
      <c r="X5" s="1">
        <v>7.2337962962962798E-3</v>
      </c>
      <c r="Y5" s="1">
        <v>8.4837962962963642E-3</v>
      </c>
      <c r="Z5" s="1">
        <v>8.1226851851851856E-2</v>
      </c>
    </row>
    <row r="6" spans="1:26" x14ac:dyDescent="0.25">
      <c r="A6">
        <v>2</v>
      </c>
      <c r="B6" t="s">
        <v>11</v>
      </c>
      <c r="C6" t="s">
        <v>148</v>
      </c>
      <c r="D6">
        <v>2014</v>
      </c>
      <c r="E6" s="1" t="s">
        <v>149</v>
      </c>
      <c r="F6" s="1" t="s">
        <v>150</v>
      </c>
      <c r="G6" s="1" t="s">
        <v>151</v>
      </c>
      <c r="H6" s="1" t="s">
        <v>152</v>
      </c>
      <c r="I6" s="1" t="s">
        <v>153</v>
      </c>
      <c r="J6" s="1" t="s">
        <v>154</v>
      </c>
      <c r="K6" s="1" t="s">
        <v>155</v>
      </c>
      <c r="L6" s="1" t="s">
        <v>156</v>
      </c>
      <c r="M6" s="1" t="s">
        <v>157</v>
      </c>
      <c r="N6" s="1" t="s">
        <v>158</v>
      </c>
      <c r="O6" s="1" t="s">
        <v>34</v>
      </c>
      <c r="P6" s="1" t="s">
        <v>55</v>
      </c>
      <c r="S6" s="1">
        <v>2.3148148148155467E-4</v>
      </c>
      <c r="T6" s="1">
        <v>8.9583333333332904E-3</v>
      </c>
      <c r="U6" s="1">
        <v>1.5740740740740611E-3</v>
      </c>
      <c r="V6" s="1">
        <v>4.8148148148148273E-3</v>
      </c>
      <c r="W6" s="1">
        <v>2.3148148148147696E-3</v>
      </c>
      <c r="X6" s="1">
        <v>1.0624999999999996E-2</v>
      </c>
      <c r="Y6" s="1">
        <v>1.2581018518518561E-2</v>
      </c>
      <c r="Z6" s="1">
        <v>2.2569444444444531E-2</v>
      </c>
    </row>
    <row r="7" spans="1:26" x14ac:dyDescent="0.25">
      <c r="A7">
        <v>1</v>
      </c>
      <c r="B7" t="s">
        <v>12</v>
      </c>
      <c r="C7" t="s">
        <v>26</v>
      </c>
      <c r="D7">
        <v>2024</v>
      </c>
      <c r="E7" s="1" t="s">
        <v>159</v>
      </c>
      <c r="F7" s="1" t="s">
        <v>160</v>
      </c>
      <c r="G7" s="1" t="s">
        <v>161</v>
      </c>
      <c r="H7" s="1" t="s">
        <v>162</v>
      </c>
      <c r="I7" s="1" t="s">
        <v>163</v>
      </c>
      <c r="J7" s="1" t="s">
        <v>164</v>
      </c>
      <c r="K7" s="1" t="s">
        <v>165</v>
      </c>
      <c r="L7" s="1" t="s">
        <v>166</v>
      </c>
      <c r="M7" s="1" t="s">
        <v>167</v>
      </c>
      <c r="N7" s="1" t="s">
        <v>168</v>
      </c>
      <c r="O7" s="1" t="s">
        <v>34</v>
      </c>
      <c r="P7" s="1" t="s">
        <v>169</v>
      </c>
      <c r="S7" s="1">
        <v>1.7361111111113825E-4</v>
      </c>
      <c r="T7" s="1">
        <v>6.9444444444444198E-3</v>
      </c>
      <c r="U7" s="1">
        <v>8.4490740740739145E-4</v>
      </c>
      <c r="V7" s="1">
        <v>2.0023148148148318E-3</v>
      </c>
      <c r="W7" s="1">
        <v>1.5740740740740611E-3</v>
      </c>
      <c r="X7" s="1">
        <v>5.5555555555555358E-3</v>
      </c>
      <c r="Y7" s="1">
        <v>9.6643518518518823E-3</v>
      </c>
      <c r="Z7" s="1">
        <v>1.8067129629629641E-2</v>
      </c>
    </row>
    <row r="8" spans="1:26" x14ac:dyDescent="0.25">
      <c r="A8">
        <v>1</v>
      </c>
      <c r="B8" t="s">
        <v>16</v>
      </c>
      <c r="C8" t="s">
        <v>30</v>
      </c>
      <c r="D8">
        <v>2020</v>
      </c>
      <c r="E8" s="1" t="s">
        <v>200</v>
      </c>
      <c r="F8" s="1" t="s">
        <v>201</v>
      </c>
      <c r="G8" s="1" t="s">
        <v>202</v>
      </c>
      <c r="H8" s="1" t="s">
        <v>203</v>
      </c>
      <c r="I8" s="1" t="s">
        <v>204</v>
      </c>
      <c r="J8" s="1" t="s">
        <v>205</v>
      </c>
      <c r="K8" s="1" t="s">
        <v>206</v>
      </c>
      <c r="L8" s="1" t="s">
        <v>207</v>
      </c>
      <c r="M8" s="1" t="s">
        <v>208</v>
      </c>
      <c r="N8" s="1" t="s">
        <v>54</v>
      </c>
      <c r="O8" s="1" t="s">
        <v>34</v>
      </c>
      <c r="P8" s="1" t="s">
        <v>180</v>
      </c>
      <c r="S8" s="1">
        <v>2.3148148148144365E-4</v>
      </c>
      <c r="T8" s="1">
        <v>1.3310185185185786E-3</v>
      </c>
      <c r="U8" s="1">
        <v>1.0416666666666075E-3</v>
      </c>
      <c r="V8" s="1">
        <v>1.8518518518518823E-3</v>
      </c>
      <c r="W8" s="1">
        <v>3.159722222222161E-3</v>
      </c>
      <c r="X8" s="1">
        <v>5.2662037037037868E-3</v>
      </c>
      <c r="Y8" s="1">
        <v>6.423611111111116E-3</v>
      </c>
      <c r="Z8" s="1">
        <v>9.2708333333333393E-3</v>
      </c>
    </row>
    <row r="9" spans="1:26" x14ac:dyDescent="0.25">
      <c r="A9">
        <v>1</v>
      </c>
      <c r="B9" t="s">
        <v>14</v>
      </c>
      <c r="C9" t="s">
        <v>32</v>
      </c>
      <c r="D9">
        <v>2011</v>
      </c>
      <c r="E9" s="1" t="s">
        <v>219</v>
      </c>
      <c r="F9" s="1" t="s">
        <v>220</v>
      </c>
      <c r="G9" s="1" t="s">
        <v>221</v>
      </c>
      <c r="H9" s="1" t="s">
        <v>222</v>
      </c>
      <c r="I9" s="1" t="s">
        <v>223</v>
      </c>
      <c r="J9" s="1" t="s">
        <v>224</v>
      </c>
      <c r="K9" s="1" t="s">
        <v>225</v>
      </c>
      <c r="L9" s="1" t="s">
        <v>226</v>
      </c>
      <c r="M9" s="1" t="s">
        <v>227</v>
      </c>
      <c r="N9" s="1" t="s">
        <v>228</v>
      </c>
      <c r="O9" s="1" t="s">
        <v>34</v>
      </c>
      <c r="P9" s="1" t="s">
        <v>169</v>
      </c>
      <c r="S9" s="1">
        <v>2.3148148148144365E-4</v>
      </c>
      <c r="T9" s="1">
        <v>6.9444444444444198E-4</v>
      </c>
      <c r="U9" s="1">
        <v>1.0532407407407574E-3</v>
      </c>
      <c r="V9" s="1">
        <v>2.6157407407407796E-3</v>
      </c>
      <c r="W9" s="1">
        <v>2.4537037037036802E-3</v>
      </c>
      <c r="X9" s="1">
        <v>7.0833333333333304E-3</v>
      </c>
      <c r="Y9" s="1">
        <v>8.3796296296296813E-3</v>
      </c>
      <c r="Z9" s="1">
        <v>1.0682870370370412E-2</v>
      </c>
    </row>
    <row r="10" spans="1:26" x14ac:dyDescent="0.25">
      <c r="A10">
        <v>1</v>
      </c>
      <c r="B10" t="s">
        <v>38</v>
      </c>
      <c r="C10" t="s">
        <v>229</v>
      </c>
      <c r="D10">
        <v>2019</v>
      </c>
      <c r="E10" s="1" t="s">
        <v>230</v>
      </c>
      <c r="F10" s="1" t="s">
        <v>231</v>
      </c>
      <c r="G10" s="1" t="s">
        <v>232</v>
      </c>
      <c r="H10" s="1" t="s">
        <v>233</v>
      </c>
      <c r="I10" s="1" t="s">
        <v>234</v>
      </c>
      <c r="J10" s="1" t="s">
        <v>235</v>
      </c>
      <c r="K10" s="1" t="s">
        <v>236</v>
      </c>
      <c r="L10" s="1" t="s">
        <v>237</v>
      </c>
      <c r="M10" s="1" t="s">
        <v>238</v>
      </c>
      <c r="N10" s="1" t="s">
        <v>54</v>
      </c>
      <c r="O10" s="1" t="s">
        <v>34</v>
      </c>
      <c r="P10" s="1" t="s">
        <v>55</v>
      </c>
      <c r="S10" s="1">
        <v>2.4305555555548253E-4</v>
      </c>
      <c r="T10" s="1">
        <v>8.5648148148154135E-4</v>
      </c>
      <c r="U10" s="1">
        <v>6.5972222222221433E-4</v>
      </c>
      <c r="V10" s="1">
        <v>2.0254629629629095E-3</v>
      </c>
      <c r="W10" s="1">
        <v>3.1712962962963109E-3</v>
      </c>
      <c r="X10" s="1">
        <v>8.3217592592592649E-3</v>
      </c>
      <c r="Y10" s="1">
        <v>9.4328703703703276E-3</v>
      </c>
      <c r="Z10" s="1">
        <v>1.4247685185185155E-2</v>
      </c>
    </row>
    <row r="11" spans="1:26" x14ac:dyDescent="0.25">
      <c r="A11">
        <v>3</v>
      </c>
      <c r="B11" t="s">
        <v>250</v>
      </c>
      <c r="C11" t="s">
        <v>271</v>
      </c>
      <c r="D11">
        <v>2013</v>
      </c>
      <c r="E11" s="1" t="s">
        <v>272</v>
      </c>
      <c r="F11" s="1" t="s">
        <v>273</v>
      </c>
      <c r="G11" s="1" t="s">
        <v>274</v>
      </c>
      <c r="H11" s="1" t="s">
        <v>275</v>
      </c>
      <c r="I11" s="1" t="s">
        <v>276</v>
      </c>
      <c r="J11" s="1" t="s">
        <v>277</v>
      </c>
      <c r="K11" s="1" t="s">
        <v>278</v>
      </c>
      <c r="L11" s="1" t="s">
        <v>279</v>
      </c>
      <c r="M11" s="1" t="s">
        <v>280</v>
      </c>
      <c r="N11" s="1" t="s">
        <v>281</v>
      </c>
      <c r="O11" s="1" t="s">
        <v>34</v>
      </c>
      <c r="P11" s="1" t="s">
        <v>55</v>
      </c>
      <c r="S11" s="1">
        <v>3.0092592592600997E-4</v>
      </c>
      <c r="T11" s="1">
        <v>1.7245370370370106E-3</v>
      </c>
      <c r="U11" s="1">
        <v>1.1111111111110628E-3</v>
      </c>
      <c r="V11" s="1">
        <v>3.1944444444443887E-3</v>
      </c>
      <c r="W11" s="1">
        <v>2.9745370370370949E-3</v>
      </c>
      <c r="X11" s="1">
        <v>7.7662037037037335E-3</v>
      </c>
      <c r="Y11" s="1">
        <v>1.1435185185185159E-2</v>
      </c>
      <c r="Z11" s="1">
        <v>1.6574074074074074E-2</v>
      </c>
    </row>
    <row r="12" spans="1:26" x14ac:dyDescent="0.25">
      <c r="A12">
        <v>2</v>
      </c>
      <c r="B12" t="s">
        <v>14</v>
      </c>
      <c r="C12" t="s">
        <v>292</v>
      </c>
      <c r="D12">
        <v>2020</v>
      </c>
      <c r="E12" s="1" t="s">
        <v>293</v>
      </c>
      <c r="F12" s="1" t="s">
        <v>294</v>
      </c>
      <c r="G12" s="1" t="s">
        <v>295</v>
      </c>
      <c r="H12" s="1" t="s">
        <v>296</v>
      </c>
      <c r="I12" s="1" t="s">
        <v>297</v>
      </c>
      <c r="J12" s="1" t="s">
        <v>298</v>
      </c>
      <c r="K12" s="1" t="s">
        <v>299</v>
      </c>
      <c r="L12" s="1" t="s">
        <v>300</v>
      </c>
      <c r="M12" s="1" t="s">
        <v>301</v>
      </c>
      <c r="N12" s="1" t="s">
        <v>302</v>
      </c>
      <c r="O12" s="1" t="s">
        <v>34</v>
      </c>
      <c r="P12" s="1" t="s">
        <v>169</v>
      </c>
      <c r="S12" s="1">
        <v>1.2152777777778567E-3</v>
      </c>
      <c r="T12" s="1">
        <v>5.6712962962957025E-4</v>
      </c>
      <c r="U12" s="1">
        <v>1.4930555555555669E-3</v>
      </c>
      <c r="V12" s="1">
        <v>5.0115740740741543E-3</v>
      </c>
      <c r="W12" s="1">
        <v>4.2708333333333348E-3</v>
      </c>
      <c r="X12" s="1">
        <v>1.489583333333333E-2</v>
      </c>
      <c r="Y12" s="1">
        <v>1.722222222222225E-2</v>
      </c>
      <c r="Z12" s="1">
        <v>2.0289351851851878E-2</v>
      </c>
    </row>
    <row r="13" spans="1:26" x14ac:dyDescent="0.25">
      <c r="A13">
        <v>2</v>
      </c>
      <c r="B13" t="s">
        <v>322</v>
      </c>
      <c r="C13" t="s">
        <v>323</v>
      </c>
      <c r="D13">
        <v>2010</v>
      </c>
      <c r="E13" s="1" t="s">
        <v>324</v>
      </c>
      <c r="F13" s="1" t="s">
        <v>325</v>
      </c>
      <c r="G13" s="1" t="s">
        <v>326</v>
      </c>
      <c r="H13" s="1" t="s">
        <v>327</v>
      </c>
      <c r="I13" s="1" t="s">
        <v>328</v>
      </c>
      <c r="J13" s="1" t="s">
        <v>329</v>
      </c>
      <c r="K13" s="1" t="s">
        <v>330</v>
      </c>
      <c r="L13" s="1" t="s">
        <v>331</v>
      </c>
      <c r="M13" s="1" t="s">
        <v>332</v>
      </c>
      <c r="N13" s="1" t="s">
        <v>333</v>
      </c>
      <c r="O13" s="1" t="s">
        <v>34</v>
      </c>
      <c r="P13" s="1" t="s">
        <v>55</v>
      </c>
      <c r="S13" s="1">
        <v>5.7870370370372015E-4</v>
      </c>
      <c r="T13" s="1">
        <v>1.2962962962962399E-3</v>
      </c>
      <c r="U13" s="1">
        <v>1.8750000000000711E-3</v>
      </c>
      <c r="V13" s="1">
        <v>6.5162037037037601E-3</v>
      </c>
      <c r="W13" s="1">
        <v>2.7893518518518068E-3</v>
      </c>
      <c r="X13" s="1">
        <v>1.0231481481481453E-2</v>
      </c>
      <c r="Y13" s="1">
        <v>1.2418981481481461E-2</v>
      </c>
      <c r="Z13" s="1">
        <v>1.6388888888888897E-2</v>
      </c>
    </row>
    <row r="14" spans="1:26" x14ac:dyDescent="0.25">
      <c r="A14">
        <v>1</v>
      </c>
      <c r="B14" t="s">
        <v>12</v>
      </c>
      <c r="C14" t="s">
        <v>334</v>
      </c>
      <c r="D14">
        <v>2007</v>
      </c>
      <c r="E14" s="1">
        <v>0.64666666666666661</v>
      </c>
      <c r="F14" s="1">
        <v>0.6469907407407407</v>
      </c>
      <c r="G14" s="1">
        <v>0.64803240740740742</v>
      </c>
      <c r="H14" s="1">
        <v>0.65010416666666671</v>
      </c>
      <c r="I14" s="1">
        <v>0.64913194444444444</v>
      </c>
      <c r="J14" s="1">
        <v>0.6516319444444445</v>
      </c>
      <c r="K14" s="1">
        <v>0.65540509259259261</v>
      </c>
      <c r="L14" s="1">
        <v>0.65649305555555559</v>
      </c>
      <c r="M14" s="1">
        <v>0.65777777777777779</v>
      </c>
      <c r="N14" s="1" t="s">
        <v>54</v>
      </c>
      <c r="O14" s="1" t="s">
        <v>34</v>
      </c>
      <c r="P14" s="1" t="s">
        <v>169</v>
      </c>
      <c r="S14" s="1">
        <v>3.2407407407408773E-4</v>
      </c>
      <c r="T14" s="1">
        <v>1.0416666666667185E-3</v>
      </c>
      <c r="U14" s="1">
        <v>1.0995370370370239E-3</v>
      </c>
      <c r="V14" s="1">
        <v>2.0717592592592871E-3</v>
      </c>
      <c r="W14" s="1">
        <v>1.5277777777777946E-3</v>
      </c>
      <c r="X14" s="1">
        <v>6.2731481481481666E-3</v>
      </c>
      <c r="Y14" s="1">
        <v>8.4606481481481755E-3</v>
      </c>
      <c r="Z14" s="1">
        <v>1.1111111111111183E-2</v>
      </c>
    </row>
    <row r="15" spans="1:26" x14ac:dyDescent="0.25">
      <c r="A15">
        <v>2</v>
      </c>
      <c r="B15" t="s">
        <v>38</v>
      </c>
      <c r="C15" t="s">
        <v>229</v>
      </c>
      <c r="D15">
        <v>2021</v>
      </c>
      <c r="E15" s="1">
        <v>0.65266203703703707</v>
      </c>
      <c r="F15" s="1">
        <v>0.65315972222222218</v>
      </c>
      <c r="G15" s="1">
        <v>0.65405092592592595</v>
      </c>
      <c r="H15" s="1">
        <v>0.65653935185185186</v>
      </c>
      <c r="I15" s="1">
        <v>0.65422453703703709</v>
      </c>
      <c r="J15" s="1">
        <v>0.65956018518518522</v>
      </c>
      <c r="K15" s="1">
        <v>0.66167824074074078</v>
      </c>
      <c r="L15" s="1">
        <v>0.66197916666666667</v>
      </c>
      <c r="M15" s="1">
        <v>0.66331018518518514</v>
      </c>
      <c r="N15" s="1" t="s">
        <v>335</v>
      </c>
      <c r="O15" s="1" t="s">
        <v>34</v>
      </c>
      <c r="P15" s="1" t="s">
        <v>55</v>
      </c>
      <c r="S15" s="1">
        <v>4.9768518518511495E-4</v>
      </c>
      <c r="T15" s="1">
        <v>8.91203703703769E-4</v>
      </c>
      <c r="U15" s="1">
        <v>1.7361111111113825E-4</v>
      </c>
      <c r="V15" s="1">
        <v>2.4884259259259078E-3</v>
      </c>
      <c r="W15" s="1">
        <v>3.0208333333333615E-3</v>
      </c>
      <c r="X15" s="1">
        <v>7.4537037037036846E-3</v>
      </c>
      <c r="Y15" s="1">
        <v>7.9282407407407218E-3</v>
      </c>
      <c r="Z15" s="1">
        <v>1.0648148148148073E-2</v>
      </c>
    </row>
    <row r="16" spans="1:26" x14ac:dyDescent="0.25">
      <c r="A16">
        <v>2</v>
      </c>
      <c r="B16" t="s">
        <v>14</v>
      </c>
      <c r="C16" t="s">
        <v>337</v>
      </c>
      <c r="D16">
        <v>2021</v>
      </c>
      <c r="E16" s="1">
        <v>0.6746064814814815</v>
      </c>
      <c r="F16" s="1">
        <v>0.67472222222222222</v>
      </c>
      <c r="G16" s="1">
        <v>0.67546296296296293</v>
      </c>
      <c r="H16" s="1">
        <v>0.67864583333333328</v>
      </c>
      <c r="I16" s="1">
        <v>0.67622685185185183</v>
      </c>
      <c r="J16" s="1">
        <v>0.68074074074074076</v>
      </c>
      <c r="K16" s="1">
        <v>0.6844675925925926</v>
      </c>
      <c r="L16" s="1">
        <v>0.68464120370370374</v>
      </c>
      <c r="M16" s="1">
        <v>0.68665509259259261</v>
      </c>
      <c r="N16" s="1" t="s">
        <v>338</v>
      </c>
      <c r="O16" s="1" t="s">
        <v>34</v>
      </c>
      <c r="P16" s="1" t="s">
        <v>169</v>
      </c>
      <c r="S16" s="1">
        <v>1.1574074074072183E-4</v>
      </c>
      <c r="T16" s="1">
        <v>7.407407407407085E-4</v>
      </c>
      <c r="U16" s="1">
        <v>7.6388888888889728E-4</v>
      </c>
      <c r="V16" s="1">
        <v>3.1828703703703498E-3</v>
      </c>
      <c r="W16" s="1">
        <v>2.0949074074074758E-3</v>
      </c>
      <c r="X16" s="1">
        <v>8.2407407407407707E-3</v>
      </c>
      <c r="Y16" s="1">
        <v>9.1782407407408062E-3</v>
      </c>
      <c r="Z16" s="1">
        <v>1.2048611111111107E-2</v>
      </c>
    </row>
    <row r="17" spans="1:26" x14ac:dyDescent="0.25">
      <c r="A17">
        <v>4</v>
      </c>
      <c r="B17" t="s">
        <v>15</v>
      </c>
      <c r="C17" t="s">
        <v>339</v>
      </c>
      <c r="D17">
        <v>2011</v>
      </c>
      <c r="E17" s="1">
        <v>0.6783217592592593</v>
      </c>
      <c r="F17" s="1">
        <v>0.67853009259259256</v>
      </c>
      <c r="G17" s="1">
        <v>0.67974537037037042</v>
      </c>
      <c r="H17" s="1">
        <v>0.68202546296296296</v>
      </c>
      <c r="I17" s="1">
        <v>0.68049768518518516</v>
      </c>
      <c r="J17" s="1">
        <v>0.68434027777777773</v>
      </c>
      <c r="K17" s="1">
        <v>0.68805555555555553</v>
      </c>
      <c r="L17" s="1">
        <v>0.71226851851851847</v>
      </c>
      <c r="M17" s="1">
        <v>0.7167824074074074</v>
      </c>
      <c r="N17" s="1" t="s">
        <v>340</v>
      </c>
      <c r="O17" s="1" t="s">
        <v>34</v>
      </c>
      <c r="P17" s="1" t="s">
        <v>169</v>
      </c>
      <c r="S17" s="1">
        <v>2.0833333333325488E-4</v>
      </c>
      <c r="T17" s="1">
        <v>1.2152777777778567E-3</v>
      </c>
      <c r="U17" s="1">
        <v>7.5231481481474738E-4</v>
      </c>
      <c r="V17" s="1">
        <v>2.2800925925925419E-3</v>
      </c>
      <c r="W17" s="1">
        <v>2.3148148148147696E-3</v>
      </c>
      <c r="X17" s="1">
        <v>7.5578703703703676E-3</v>
      </c>
      <c r="Y17" s="1">
        <v>3.2523148148148051E-2</v>
      </c>
      <c r="Z17" s="1">
        <v>3.8460648148148091E-2</v>
      </c>
    </row>
    <row r="18" spans="1:26" x14ac:dyDescent="0.25">
      <c r="A18">
        <v>1</v>
      </c>
      <c r="B18" t="s">
        <v>38</v>
      </c>
      <c r="C18" t="s">
        <v>341</v>
      </c>
      <c r="D18">
        <v>2019</v>
      </c>
      <c r="E18" s="1">
        <v>0.71009259259259261</v>
      </c>
      <c r="F18" s="1">
        <v>0.71042824074074074</v>
      </c>
      <c r="G18" s="1">
        <v>0.71157407407407403</v>
      </c>
      <c r="H18" s="1">
        <v>0.71545138888888893</v>
      </c>
      <c r="I18" s="1">
        <v>0.71215277777777775</v>
      </c>
      <c r="J18" s="1">
        <v>0.71769675925925924</v>
      </c>
      <c r="K18" s="1">
        <v>0.72232638888888889</v>
      </c>
      <c r="L18" s="1">
        <v>0.7225462962962963</v>
      </c>
      <c r="M18" s="1">
        <v>0.72321759259259255</v>
      </c>
      <c r="N18" s="1" t="s">
        <v>342</v>
      </c>
      <c r="O18" s="1" t="s">
        <v>34</v>
      </c>
      <c r="P18" s="1" t="s">
        <v>55</v>
      </c>
      <c r="S18" s="1">
        <v>3.356481481481266E-4</v>
      </c>
      <c r="T18" s="1">
        <v>1.1458333333332904E-3</v>
      </c>
      <c r="U18" s="1">
        <v>5.7870370370372015E-4</v>
      </c>
      <c r="V18" s="1">
        <v>3.8773148148149028E-3</v>
      </c>
      <c r="W18" s="1">
        <v>2.2453703703703143E-3</v>
      </c>
      <c r="X18" s="1">
        <v>1.0173611111111147E-2</v>
      </c>
      <c r="Y18" s="1">
        <v>1.0972222222222272E-2</v>
      </c>
      <c r="Z18" s="1">
        <v>1.3124999999999942E-2</v>
      </c>
    </row>
    <row r="19" spans="1:26" x14ac:dyDescent="0.25">
      <c r="A19">
        <v>3</v>
      </c>
      <c r="B19" t="s">
        <v>8</v>
      </c>
      <c r="C19" t="s">
        <v>24</v>
      </c>
      <c r="D19">
        <v>2016</v>
      </c>
      <c r="E19" s="1">
        <v>0.71096064814814819</v>
      </c>
      <c r="F19" s="1">
        <v>0.71122685185185186</v>
      </c>
      <c r="G19" s="1">
        <v>0.71278935185185188</v>
      </c>
      <c r="H19" s="1">
        <v>0.7189699074074074</v>
      </c>
      <c r="I19" s="1">
        <v>0.71491898148148147</v>
      </c>
      <c r="J19" s="1">
        <v>0.7198148148148148</v>
      </c>
      <c r="K19" s="1">
        <v>0.72280092592592593</v>
      </c>
      <c r="L19" s="1">
        <v>0.7230092592592593</v>
      </c>
      <c r="M19" s="1">
        <v>0.72465277777777781</v>
      </c>
      <c r="N19" s="1" t="s">
        <v>343</v>
      </c>
      <c r="O19" s="1" t="s">
        <v>34</v>
      </c>
      <c r="P19" s="1" t="s">
        <v>55</v>
      </c>
      <c r="S19" s="1">
        <v>2.662037037036713E-4</v>
      </c>
      <c r="T19" s="1">
        <v>1.5625000000000222E-3</v>
      </c>
      <c r="U19" s="1">
        <v>2.1296296296295925E-3</v>
      </c>
      <c r="V19" s="1">
        <v>6.1805555555555225E-3</v>
      </c>
      <c r="W19" s="1">
        <v>8.4490740740739145E-4</v>
      </c>
      <c r="X19" s="1">
        <v>7.8819444444444553E-3</v>
      </c>
      <c r="Y19" s="1">
        <v>1.0219907407407414E-2</v>
      </c>
      <c r="Z19" s="1">
        <v>1.3692129629629624E-2</v>
      </c>
    </row>
    <row r="20" spans="1:26" x14ac:dyDescent="0.25">
      <c r="A20">
        <v>2</v>
      </c>
      <c r="B20" t="s">
        <v>38</v>
      </c>
      <c r="C20" t="s">
        <v>344</v>
      </c>
      <c r="D20">
        <v>1997</v>
      </c>
      <c r="E20" s="1">
        <v>0.72623842592592591</v>
      </c>
      <c r="F20" s="1">
        <v>0.72653935185185181</v>
      </c>
      <c r="G20" s="1">
        <v>0.72722222222222221</v>
      </c>
      <c r="H20" s="1">
        <v>0.72964120370370367</v>
      </c>
      <c r="I20" s="1">
        <v>0.72851851851851857</v>
      </c>
      <c r="J20" s="1">
        <v>0.73047453703703702</v>
      </c>
      <c r="K20" s="1">
        <v>0.73715277777777777</v>
      </c>
      <c r="L20" s="1">
        <v>0.73747685185185186</v>
      </c>
      <c r="M20" s="1">
        <v>0.73841435185185189</v>
      </c>
      <c r="N20" s="1" t="s">
        <v>345</v>
      </c>
      <c r="O20" s="1" t="s">
        <v>34</v>
      </c>
      <c r="P20" s="1" t="s">
        <v>55</v>
      </c>
      <c r="S20" s="1">
        <v>3.0092592592589895E-4</v>
      </c>
      <c r="T20" s="1">
        <v>6.828703703704031E-4</v>
      </c>
      <c r="U20" s="1">
        <v>1.2962962962963509E-3</v>
      </c>
      <c r="V20" s="1">
        <v>2.4189814814814525E-3</v>
      </c>
      <c r="W20" s="1">
        <v>8.3333333333335258E-4</v>
      </c>
      <c r="X20" s="1">
        <v>8.6342592592592027E-3</v>
      </c>
      <c r="Y20" s="1">
        <v>1.0254629629629641E-2</v>
      </c>
      <c r="Z20" s="1">
        <v>1.2175925925925979E-2</v>
      </c>
    </row>
    <row r="21" spans="1:26" x14ac:dyDescent="0.25">
      <c r="A21">
        <v>4</v>
      </c>
      <c r="B21" t="s">
        <v>8</v>
      </c>
      <c r="C21" t="s">
        <v>24</v>
      </c>
      <c r="D21">
        <v>2014</v>
      </c>
      <c r="E21" s="1">
        <v>0.73476851851851854</v>
      </c>
      <c r="F21" s="1">
        <v>0.73503472222222221</v>
      </c>
      <c r="G21" s="1">
        <v>0.73591435185185183</v>
      </c>
      <c r="H21" s="1">
        <v>0.73962962962962964</v>
      </c>
      <c r="I21" s="1">
        <v>0.73675925925925922</v>
      </c>
      <c r="J21" s="1">
        <v>0.74312500000000004</v>
      </c>
      <c r="K21" s="1">
        <v>0.74719907407407404</v>
      </c>
      <c r="L21" s="1">
        <v>0.75638888888888889</v>
      </c>
      <c r="M21" s="1">
        <v>0.75765046296296301</v>
      </c>
      <c r="N21" s="1" t="s">
        <v>348</v>
      </c>
      <c r="O21" s="1" t="s">
        <v>34</v>
      </c>
      <c r="P21" s="1" t="s">
        <v>55</v>
      </c>
      <c r="S21" s="1">
        <v>2.662037037036713E-4</v>
      </c>
      <c r="T21" s="1">
        <v>8.796296296296191E-4</v>
      </c>
      <c r="U21" s="1">
        <v>8.4490740740739145E-4</v>
      </c>
      <c r="V21" s="1">
        <v>3.7152777777778034E-3</v>
      </c>
      <c r="W21" s="1">
        <v>3.4953703703703987E-3</v>
      </c>
      <c r="X21" s="1">
        <v>1.0439814814814818E-2</v>
      </c>
      <c r="Y21" s="1">
        <v>2.0474537037037055E-2</v>
      </c>
      <c r="Z21" s="1">
        <v>2.2881944444444469E-2</v>
      </c>
    </row>
    <row r="22" spans="1:26" x14ac:dyDescent="0.25">
      <c r="A22">
        <v>1</v>
      </c>
      <c r="B22" t="s">
        <v>14</v>
      </c>
      <c r="C22" t="s">
        <v>349</v>
      </c>
      <c r="D22">
        <v>2023</v>
      </c>
      <c r="E22" s="1">
        <v>0.73503472222222221</v>
      </c>
      <c r="F22" s="1">
        <v>0.73542824074074076</v>
      </c>
      <c r="G22" s="1">
        <v>0.73993055555555554</v>
      </c>
      <c r="H22" s="1">
        <v>0.74796296296296294</v>
      </c>
      <c r="I22" s="1">
        <v>0.74107638888888894</v>
      </c>
      <c r="J22" s="1">
        <v>0.74962962962962965</v>
      </c>
      <c r="K22" s="1">
        <v>0.77094907407407409</v>
      </c>
      <c r="L22" s="1">
        <v>0.77120370370370372</v>
      </c>
      <c r="M22" s="1">
        <v>0.77195601851851847</v>
      </c>
      <c r="N22" s="1" t="s">
        <v>350</v>
      </c>
      <c r="O22" s="1" t="s">
        <v>34</v>
      </c>
      <c r="P22" s="1" t="s">
        <v>169</v>
      </c>
      <c r="S22" s="1">
        <v>3.9351851851854303E-4</v>
      </c>
      <c r="T22" s="1">
        <v>4.5023148148147785E-3</v>
      </c>
      <c r="U22" s="1">
        <v>1.1458333333334014E-3</v>
      </c>
      <c r="V22" s="1">
        <v>8.0324074074074048E-3</v>
      </c>
      <c r="W22" s="1">
        <v>1.6666666666667052E-3</v>
      </c>
      <c r="X22" s="1">
        <v>2.9872685185185155E-2</v>
      </c>
      <c r="Y22" s="1">
        <v>3.1273148148148189E-2</v>
      </c>
      <c r="Z22" s="1">
        <v>3.6921296296296258E-2</v>
      </c>
    </row>
    <row r="23" spans="1:26" x14ac:dyDescent="0.25">
      <c r="A23">
        <v>2</v>
      </c>
      <c r="B23" t="s">
        <v>8</v>
      </c>
      <c r="C23" t="s">
        <v>353</v>
      </c>
      <c r="D23">
        <v>2022</v>
      </c>
      <c r="E23" s="1">
        <v>0.76589120370370367</v>
      </c>
      <c r="F23" s="1">
        <v>0.76603009259259258</v>
      </c>
      <c r="G23" s="1">
        <v>0.76709490740740738</v>
      </c>
      <c r="H23" s="1">
        <v>0.77074074074074073</v>
      </c>
      <c r="I23" s="1">
        <v>0.7680555555555556</v>
      </c>
      <c r="J23" s="1">
        <v>0.77296296296296296</v>
      </c>
      <c r="K23" s="1">
        <v>0.77579861111111115</v>
      </c>
      <c r="L23" s="1">
        <v>0.78021990740740743</v>
      </c>
      <c r="M23" s="1">
        <v>0.78093749999999995</v>
      </c>
      <c r="N23" s="1" t="s">
        <v>291</v>
      </c>
      <c r="O23" s="1" t="s">
        <v>34</v>
      </c>
      <c r="P23" s="1" t="s">
        <v>55</v>
      </c>
      <c r="S23" s="1">
        <v>1.388888888889106E-4</v>
      </c>
      <c r="T23" s="1">
        <v>1.0648148148147962E-3</v>
      </c>
      <c r="U23" s="1">
        <v>9.606481481482243E-4</v>
      </c>
      <c r="V23" s="1">
        <v>3.6458333333333481E-3</v>
      </c>
      <c r="W23" s="1">
        <v>2.2222222222222365E-3</v>
      </c>
      <c r="X23" s="1">
        <v>7.7430555555555447E-3</v>
      </c>
      <c r="Y23" s="1">
        <v>1.3125000000000053E-2</v>
      </c>
      <c r="Z23" s="1">
        <v>1.504629629629628E-2</v>
      </c>
    </row>
    <row r="24" spans="1:26" x14ac:dyDescent="0.25">
      <c r="A24">
        <v>2</v>
      </c>
      <c r="B24" t="s">
        <v>11</v>
      </c>
      <c r="C24" t="s">
        <v>355</v>
      </c>
      <c r="D24">
        <v>2023</v>
      </c>
      <c r="E24" s="1">
        <v>0.53383101851851855</v>
      </c>
      <c r="F24" s="1">
        <v>0.5342824074074074</v>
      </c>
      <c r="G24" s="1">
        <v>0.53524305555555551</v>
      </c>
      <c r="H24" s="1">
        <v>0.53853009259259255</v>
      </c>
      <c r="I24" s="1">
        <v>0.53620370370370374</v>
      </c>
      <c r="J24" s="1">
        <v>0.54001157407407407</v>
      </c>
      <c r="K24" s="1">
        <v>0.54596064814814815</v>
      </c>
      <c r="L24" s="1">
        <v>0.54643518518518519</v>
      </c>
      <c r="M24" s="1">
        <v>0.54699074074074072</v>
      </c>
      <c r="N24" s="1" t="s">
        <v>54</v>
      </c>
      <c r="O24" s="1" t="s">
        <v>34</v>
      </c>
      <c r="P24" s="1" t="s">
        <v>55</v>
      </c>
      <c r="S24" s="1">
        <v>4.5138888888884843E-4</v>
      </c>
      <c r="T24" s="1">
        <v>9.6064814814811328E-4</v>
      </c>
      <c r="U24" s="1">
        <v>9.606481481482243E-4</v>
      </c>
      <c r="V24" s="1">
        <v>3.2870370370370328E-3</v>
      </c>
      <c r="W24" s="1">
        <v>1.481481481481528E-3</v>
      </c>
      <c r="X24" s="1">
        <v>9.7569444444444153E-3</v>
      </c>
      <c r="Y24" s="1">
        <v>1.1192129629629677E-2</v>
      </c>
      <c r="Z24" s="1">
        <v>1.315972222222217E-2</v>
      </c>
    </row>
    <row r="25" spans="1:26" x14ac:dyDescent="0.25">
      <c r="A25">
        <v>1</v>
      </c>
      <c r="B25" t="s">
        <v>38</v>
      </c>
      <c r="C25" t="s">
        <v>229</v>
      </c>
      <c r="D25">
        <v>2017</v>
      </c>
      <c r="E25" s="1">
        <v>0.55045138888888889</v>
      </c>
      <c r="F25" s="1">
        <v>0.55063657407407407</v>
      </c>
      <c r="G25" s="1">
        <v>0.55173611111111109</v>
      </c>
      <c r="H25" s="1">
        <v>0.55601851851851847</v>
      </c>
      <c r="I25" s="1">
        <v>0.55246527777777776</v>
      </c>
      <c r="J25" s="1">
        <v>0.55778935185185186</v>
      </c>
      <c r="K25" s="1">
        <v>0.56643518518518521</v>
      </c>
      <c r="L25" s="1">
        <v>0.56673611111111111</v>
      </c>
      <c r="M25" s="1">
        <v>0.56851851851851853</v>
      </c>
      <c r="N25" s="1" t="s">
        <v>54</v>
      </c>
      <c r="O25" s="1" t="s">
        <v>34</v>
      </c>
      <c r="P25" s="1" t="s">
        <v>55</v>
      </c>
      <c r="S25" s="1">
        <v>1.8518518518517713E-4</v>
      </c>
      <c r="T25" s="1">
        <v>1.0995370370370239E-3</v>
      </c>
      <c r="U25" s="1">
        <v>7.2916666666666963E-4</v>
      </c>
      <c r="V25" s="1">
        <v>4.2824074074073737E-3</v>
      </c>
      <c r="W25" s="1">
        <v>1.7708333333333881E-3</v>
      </c>
      <c r="X25" s="1">
        <v>1.3969907407407445E-2</v>
      </c>
      <c r="Y25" s="1">
        <v>1.5000000000000013E-2</v>
      </c>
      <c r="Z25" s="1">
        <v>1.8067129629629641E-2</v>
      </c>
    </row>
    <row r="26" spans="1:26" x14ac:dyDescent="0.25">
      <c r="A26">
        <v>2</v>
      </c>
      <c r="B26" t="s">
        <v>38</v>
      </c>
      <c r="C26" t="s">
        <v>229</v>
      </c>
      <c r="D26">
        <v>2015</v>
      </c>
      <c r="E26" s="1">
        <v>0.5514930555555555</v>
      </c>
      <c r="F26" s="1">
        <v>0.55166666666666664</v>
      </c>
      <c r="G26" s="1">
        <v>0.55244212962962957</v>
      </c>
      <c r="H26" s="1">
        <v>0.55557870370370366</v>
      </c>
      <c r="I26" s="1">
        <v>0.55354166666666671</v>
      </c>
      <c r="J26" s="1">
        <v>0.55960648148148151</v>
      </c>
      <c r="K26" s="1">
        <v>0.56630787037037034</v>
      </c>
      <c r="L26" s="1">
        <v>0.56685185185185183</v>
      </c>
      <c r="M26" s="1">
        <v>0.56913194444444448</v>
      </c>
      <c r="N26" s="1" t="s">
        <v>54</v>
      </c>
      <c r="O26" s="1" t="s">
        <v>34</v>
      </c>
      <c r="P26" s="1" t="s">
        <v>55</v>
      </c>
      <c r="S26" s="1">
        <v>1.7361111111113825E-4</v>
      </c>
      <c r="T26" s="1">
        <v>7.7546296296293615E-4</v>
      </c>
      <c r="U26" s="1">
        <v>1.0995370370371349E-3</v>
      </c>
      <c r="V26" s="1">
        <v>3.1365740740740833E-3</v>
      </c>
      <c r="W26" s="1">
        <v>4.0277777777778523E-3</v>
      </c>
      <c r="X26" s="1">
        <v>1.2766203703703627E-2</v>
      </c>
      <c r="Y26" s="1">
        <v>1.4409722222222254E-2</v>
      </c>
      <c r="Z26" s="1">
        <v>1.7638888888888982E-2</v>
      </c>
    </row>
    <row r="27" spans="1:26" x14ac:dyDescent="0.25">
      <c r="A27">
        <v>3</v>
      </c>
      <c r="B27" t="s">
        <v>38</v>
      </c>
      <c r="C27" t="s">
        <v>229</v>
      </c>
      <c r="D27">
        <v>2016</v>
      </c>
      <c r="E27" s="1">
        <v>0.55474537037037042</v>
      </c>
      <c r="F27" s="1">
        <v>0.55561342592592589</v>
      </c>
      <c r="G27" s="1">
        <v>0.55726851851851855</v>
      </c>
      <c r="H27" s="1">
        <v>0.56059027777777781</v>
      </c>
      <c r="I27" s="1">
        <v>0.55855324074074075</v>
      </c>
      <c r="J27" s="1">
        <v>0.56331018518518516</v>
      </c>
      <c r="K27" s="1">
        <v>0.5690277777777778</v>
      </c>
      <c r="L27" s="1">
        <v>0.5722800925925926</v>
      </c>
      <c r="M27" s="1">
        <v>0.5747106481481481</v>
      </c>
      <c r="N27" s="1" t="s">
        <v>333</v>
      </c>
      <c r="O27" s="1" t="s">
        <v>34</v>
      </c>
      <c r="P27" s="1" t="s">
        <v>55</v>
      </c>
      <c r="S27" s="1">
        <v>8.680555555554692E-4</v>
      </c>
      <c r="T27" s="1">
        <v>1.6550925925926663E-3</v>
      </c>
      <c r="U27" s="1">
        <v>1.284722222222201E-3</v>
      </c>
      <c r="V27" s="1">
        <v>3.3217592592592604E-3</v>
      </c>
      <c r="W27" s="1">
        <v>2.7199074074073515E-3</v>
      </c>
      <c r="X27" s="1">
        <v>1.0474537037037046E-2</v>
      </c>
      <c r="Y27" s="1">
        <v>1.5011574074074052E-2</v>
      </c>
      <c r="Z27" s="1">
        <v>1.9965277777777679E-2</v>
      </c>
    </row>
    <row r="28" spans="1:26" x14ac:dyDescent="0.25">
      <c r="A28">
        <v>4</v>
      </c>
      <c r="B28" t="s">
        <v>38</v>
      </c>
      <c r="C28" t="s">
        <v>229</v>
      </c>
      <c r="D28">
        <v>2021</v>
      </c>
      <c r="E28" s="1">
        <v>0.56108796296296293</v>
      </c>
      <c r="F28" s="1">
        <v>0.56122685185185184</v>
      </c>
      <c r="G28" s="1">
        <v>0.56236111111111109</v>
      </c>
      <c r="H28" s="1">
        <v>0.57008101851851856</v>
      </c>
      <c r="I28" s="1">
        <v>0.56317129629629625</v>
      </c>
      <c r="J28" s="1">
        <v>0.5723611111111111</v>
      </c>
      <c r="K28" s="1">
        <v>0.58871527777777777</v>
      </c>
      <c r="L28" s="1">
        <v>0.5892708333333333</v>
      </c>
      <c r="M28" s="1">
        <v>0.59075231481481483</v>
      </c>
      <c r="N28" s="1" t="s">
        <v>356</v>
      </c>
      <c r="O28" s="1" t="s">
        <v>34</v>
      </c>
      <c r="P28" s="1" t="s">
        <v>55</v>
      </c>
      <c r="S28" s="1">
        <v>1.388888888889106E-4</v>
      </c>
      <c r="T28" s="1">
        <v>1.1342592592592515E-3</v>
      </c>
      <c r="U28" s="1">
        <v>8.101851851851638E-4</v>
      </c>
      <c r="V28" s="1">
        <v>7.7199074074074669E-3</v>
      </c>
      <c r="W28" s="1">
        <v>2.2800925925925419E-3</v>
      </c>
      <c r="X28" s="1">
        <v>2.5543981481481515E-2</v>
      </c>
      <c r="Y28" s="1">
        <v>2.690972222222221E-2</v>
      </c>
      <c r="Z28" s="1">
        <v>2.96643518518519E-2</v>
      </c>
    </row>
    <row r="29" spans="1:26" x14ac:dyDescent="0.25">
      <c r="A29">
        <v>1</v>
      </c>
      <c r="B29" t="s">
        <v>357</v>
      </c>
      <c r="C29" t="s">
        <v>358</v>
      </c>
      <c r="D29">
        <v>2003</v>
      </c>
      <c r="E29" s="1">
        <v>0.56342592592592589</v>
      </c>
      <c r="F29" s="1">
        <v>0.56390046296296292</v>
      </c>
      <c r="G29" s="1">
        <v>0.57076388888888885</v>
      </c>
      <c r="H29" s="1">
        <v>0.57123842592592589</v>
      </c>
      <c r="I29" s="1">
        <v>0.57431712962962966</v>
      </c>
      <c r="J29" s="1">
        <v>0.57966435185185183</v>
      </c>
      <c r="K29" s="1">
        <v>0.58268518518518519</v>
      </c>
      <c r="L29" s="1">
        <v>0.58315972222222223</v>
      </c>
      <c r="M29" s="1">
        <v>0.58428240740740744</v>
      </c>
      <c r="N29" s="1" t="s">
        <v>54</v>
      </c>
      <c r="O29" s="1" t="s">
        <v>34</v>
      </c>
      <c r="P29" s="1" t="s">
        <v>169</v>
      </c>
      <c r="S29" s="1">
        <v>4.745370370370372E-4</v>
      </c>
      <c r="T29" s="1">
        <v>6.8634259259259256E-3</v>
      </c>
      <c r="U29" s="1">
        <v>3.5532407407408151E-3</v>
      </c>
      <c r="V29" s="1">
        <v>4.745370370370372E-4</v>
      </c>
      <c r="W29" s="1">
        <v>8.4259259259259478E-3</v>
      </c>
      <c r="X29" s="1">
        <v>8.3680555555555314E-3</v>
      </c>
      <c r="Y29" s="1">
        <v>1.2395833333333384E-2</v>
      </c>
      <c r="Z29" s="1">
        <v>2.0856481481481559E-2</v>
      </c>
    </row>
    <row r="30" spans="1:26" x14ac:dyDescent="0.25">
      <c r="A30">
        <v>2</v>
      </c>
      <c r="B30" t="s">
        <v>359</v>
      </c>
      <c r="C30" t="s">
        <v>360</v>
      </c>
      <c r="D30">
        <v>2014</v>
      </c>
      <c r="E30" s="1">
        <v>0.57418981481481479</v>
      </c>
      <c r="F30" s="1">
        <v>0.5745717592592593</v>
      </c>
      <c r="G30" s="1">
        <v>0.57601851851851849</v>
      </c>
      <c r="H30" s="1">
        <v>0.57951388888888888</v>
      </c>
      <c r="I30" s="1">
        <v>0.57796296296296301</v>
      </c>
      <c r="J30" s="1">
        <v>0.57989583333333339</v>
      </c>
      <c r="K30" s="1">
        <v>0.5871643518518519</v>
      </c>
      <c r="L30" s="1">
        <v>0.5876851851851852</v>
      </c>
      <c r="M30" s="1">
        <v>0.58900462962962963</v>
      </c>
      <c r="N30" s="1" t="s">
        <v>361</v>
      </c>
      <c r="O30" s="1" t="s">
        <v>34</v>
      </c>
      <c r="P30" s="1" t="s">
        <v>55</v>
      </c>
      <c r="S30" s="1">
        <v>3.8194444444450415E-4</v>
      </c>
      <c r="T30" s="1">
        <v>1.4467592592591894E-3</v>
      </c>
      <c r="U30" s="1">
        <v>1.9444444444445264E-3</v>
      </c>
      <c r="V30" s="1">
        <v>3.4953703703703987E-3</v>
      </c>
      <c r="W30" s="1">
        <v>3.8194444444450415E-4</v>
      </c>
      <c r="X30" s="1">
        <v>9.201388888888884E-3</v>
      </c>
      <c r="Y30" s="1">
        <v>1.1666666666666714E-2</v>
      </c>
      <c r="Z30" s="1">
        <v>1.4814814814814836E-2</v>
      </c>
    </row>
    <row r="31" spans="1:26" x14ac:dyDescent="0.25">
      <c r="A31">
        <v>3</v>
      </c>
      <c r="B31" t="s">
        <v>359</v>
      </c>
      <c r="C31" t="s">
        <v>362</v>
      </c>
      <c r="D31">
        <v>2018</v>
      </c>
      <c r="E31" s="1">
        <v>0.59677083333333336</v>
      </c>
      <c r="F31" s="1">
        <v>0.59718749999999998</v>
      </c>
      <c r="G31" s="1">
        <v>0.59835648148148146</v>
      </c>
      <c r="H31" s="1">
        <v>0.60118055555555561</v>
      </c>
      <c r="I31" s="1">
        <v>0.59917824074074078</v>
      </c>
      <c r="J31" s="1">
        <v>0.60390046296296296</v>
      </c>
      <c r="K31" s="1">
        <v>0.60717592592592595</v>
      </c>
      <c r="L31" s="1">
        <v>0.60751157407407408</v>
      </c>
      <c r="M31" s="1">
        <v>0.61016203703703709</v>
      </c>
      <c r="N31" s="1" t="s">
        <v>343</v>
      </c>
      <c r="O31" s="1" t="s">
        <v>34</v>
      </c>
      <c r="P31" s="1" t="s">
        <v>55</v>
      </c>
      <c r="S31" s="1">
        <v>4.1666666666662078E-4</v>
      </c>
      <c r="T31" s="1">
        <v>1.1689814814814792E-3</v>
      </c>
      <c r="U31" s="1">
        <v>8.217592592593137E-4</v>
      </c>
      <c r="V31" s="1">
        <v>2.8240740740741455E-3</v>
      </c>
      <c r="W31" s="1">
        <v>2.7199074074073515E-3</v>
      </c>
      <c r="X31" s="1">
        <v>7.9976851851851771E-3</v>
      </c>
      <c r="Y31" s="1">
        <v>9.1550925925926174E-3</v>
      </c>
      <c r="Z31" s="1">
        <v>1.3391203703703725E-2</v>
      </c>
    </row>
    <row r="32" spans="1:26" x14ac:dyDescent="0.25">
      <c r="A32">
        <v>3</v>
      </c>
      <c r="B32" t="s">
        <v>322</v>
      </c>
      <c r="C32" t="s">
        <v>367</v>
      </c>
      <c r="D32">
        <v>2019</v>
      </c>
      <c r="E32" s="1">
        <v>0.67106481481481484</v>
      </c>
      <c r="F32" s="1">
        <v>0.6712731481481482</v>
      </c>
      <c r="G32" s="1">
        <v>0.67268518518518516</v>
      </c>
      <c r="H32" s="1">
        <v>0.67600694444444442</v>
      </c>
      <c r="I32" s="1">
        <v>0.6738425925925926</v>
      </c>
      <c r="J32" s="1">
        <v>0.67975694444444446</v>
      </c>
      <c r="K32" s="1">
        <v>0.68273148148148144</v>
      </c>
      <c r="L32" s="1">
        <v>0.68300925925925926</v>
      </c>
      <c r="M32" s="1">
        <v>0.68425925925925923</v>
      </c>
      <c r="N32" s="1" t="s">
        <v>343</v>
      </c>
      <c r="O32" s="1" t="s">
        <v>34</v>
      </c>
      <c r="P32" s="1" t="s">
        <v>55</v>
      </c>
      <c r="S32" s="1">
        <v>2.083333333333659E-4</v>
      </c>
      <c r="T32" s="1">
        <v>1.4120370370369617E-3</v>
      </c>
      <c r="U32" s="1">
        <v>1.1574074074074403E-3</v>
      </c>
      <c r="V32" s="1">
        <v>3.3217592592592604E-3</v>
      </c>
      <c r="W32" s="1">
        <v>3.7500000000000311E-3</v>
      </c>
      <c r="X32" s="1">
        <v>8.8888888888888351E-3</v>
      </c>
      <c r="Y32" s="1">
        <v>1.0324074074074097E-2</v>
      </c>
      <c r="Z32" s="1">
        <v>1.3194444444444398E-2</v>
      </c>
    </row>
    <row r="33" spans="1:26" x14ac:dyDescent="0.25">
      <c r="A33">
        <v>1</v>
      </c>
      <c r="B33" t="s">
        <v>368</v>
      </c>
      <c r="C33" t="s">
        <v>369</v>
      </c>
      <c r="D33">
        <v>2013</v>
      </c>
      <c r="E33" s="1">
        <v>0.73524305555555558</v>
      </c>
      <c r="F33" s="1">
        <v>0.73548611111111106</v>
      </c>
      <c r="G33" s="1">
        <v>0.73599537037037033</v>
      </c>
      <c r="H33" s="1">
        <v>0.73934027777777778</v>
      </c>
      <c r="I33" s="1">
        <v>0.73717592592592596</v>
      </c>
      <c r="J33" s="1">
        <v>0.74083333333333334</v>
      </c>
      <c r="K33" s="1">
        <v>0.75200231481481483</v>
      </c>
      <c r="L33" s="1">
        <v>0.75230324074074073</v>
      </c>
      <c r="M33" s="1">
        <v>0.75304398148148144</v>
      </c>
      <c r="N33" s="1" t="s">
        <v>370</v>
      </c>
      <c r="O33" s="1" t="s">
        <v>34</v>
      </c>
      <c r="P33" s="1" t="s">
        <v>55</v>
      </c>
      <c r="S33" s="1">
        <v>2.4305555555548253E-4</v>
      </c>
      <c r="T33" s="1">
        <v>5.0925925925926485E-4</v>
      </c>
      <c r="U33" s="1">
        <v>1.1805555555556291E-3</v>
      </c>
      <c r="V33" s="1">
        <v>3.3449074074074492E-3</v>
      </c>
      <c r="W33" s="1">
        <v>1.4930555555555669E-3</v>
      </c>
      <c r="X33" s="1">
        <v>1.4826388888888875E-2</v>
      </c>
      <c r="Y33" s="1">
        <v>1.6307870370370403E-2</v>
      </c>
      <c r="Z33" s="1">
        <v>1.7800925925925859E-2</v>
      </c>
    </row>
    <row r="34" spans="1:26" x14ac:dyDescent="0.25">
      <c r="A34">
        <v>1</v>
      </c>
      <c r="B34" t="s">
        <v>11</v>
      </c>
      <c r="C34" t="s">
        <v>371</v>
      </c>
      <c r="D34">
        <v>2019</v>
      </c>
      <c r="E34" s="1">
        <v>0.4855902777777778</v>
      </c>
      <c r="F34" s="1">
        <v>0.48587962962962961</v>
      </c>
      <c r="G34" s="1">
        <v>0.48712962962962963</v>
      </c>
      <c r="H34" s="1">
        <v>0.48996527777777776</v>
      </c>
      <c r="I34" s="1">
        <v>0.4881712962962963</v>
      </c>
      <c r="J34" s="1">
        <v>0.49259259259259258</v>
      </c>
      <c r="K34" s="1">
        <v>0.49706018518518519</v>
      </c>
      <c r="L34" s="1">
        <v>0.50090277777777781</v>
      </c>
      <c r="M34" s="1">
        <v>0.50497685185185182</v>
      </c>
      <c r="N34" s="1" t="s">
        <v>54</v>
      </c>
      <c r="O34" s="1" t="s">
        <v>34</v>
      </c>
      <c r="P34" s="1" t="s">
        <v>55</v>
      </c>
      <c r="S34" s="1">
        <v>2.8935185185180456E-4</v>
      </c>
      <c r="T34" s="1">
        <v>1.2500000000000289E-3</v>
      </c>
      <c r="U34" s="1">
        <v>1.041666666666663E-3</v>
      </c>
      <c r="V34" s="1">
        <v>2.8356481481481288E-3</v>
      </c>
      <c r="W34" s="1">
        <v>2.6273148148148184E-3</v>
      </c>
      <c r="X34" s="1">
        <v>8.8888888888888906E-3</v>
      </c>
      <c r="Y34" s="1">
        <v>1.3773148148148173E-2</v>
      </c>
      <c r="Z34" s="1">
        <v>1.9386574074074014E-2</v>
      </c>
    </row>
    <row r="35" spans="1:26" x14ac:dyDescent="0.25">
      <c r="A35">
        <v>2</v>
      </c>
      <c r="B35" t="s">
        <v>8</v>
      </c>
      <c r="C35" t="s">
        <v>24</v>
      </c>
      <c r="D35">
        <v>2003</v>
      </c>
      <c r="E35" s="1">
        <v>0.48690972222222223</v>
      </c>
      <c r="F35" s="1">
        <v>0.48744212962962963</v>
      </c>
      <c r="G35" s="1">
        <v>0.49439814814814814</v>
      </c>
      <c r="H35" s="1">
        <v>0.50357638888888889</v>
      </c>
      <c r="I35" s="1">
        <v>0.49653935185185183</v>
      </c>
      <c r="J35" s="1">
        <v>0.50412037037037039</v>
      </c>
      <c r="K35" s="1">
        <v>0.51071759259259264</v>
      </c>
      <c r="L35" s="1">
        <v>0.51467592592592593</v>
      </c>
      <c r="M35" s="1">
        <v>0.5159259259259259</v>
      </c>
      <c r="N35" s="1" t="s">
        <v>54</v>
      </c>
      <c r="O35" s="1" t="s">
        <v>34</v>
      </c>
      <c r="P35" s="1" t="s">
        <v>55</v>
      </c>
      <c r="S35" s="1">
        <v>5.3240740740739811E-4</v>
      </c>
      <c r="T35" s="1">
        <v>6.9560185185185142E-3</v>
      </c>
      <c r="U35" s="1">
        <v>2.1412037037036868E-3</v>
      </c>
      <c r="V35" s="1">
        <v>9.1782407407407507E-3</v>
      </c>
      <c r="W35" s="1">
        <v>5.439814814814925E-4</v>
      </c>
      <c r="X35" s="1">
        <v>1.4178240740740811E-2</v>
      </c>
      <c r="Y35" s="1">
        <v>2.0277777777777783E-2</v>
      </c>
      <c r="Z35" s="1">
        <v>2.9016203703703669E-2</v>
      </c>
    </row>
    <row r="36" spans="1:26" x14ac:dyDescent="0.25">
      <c r="A36">
        <v>2</v>
      </c>
      <c r="B36" t="s">
        <v>8</v>
      </c>
      <c r="C36" t="s">
        <v>353</v>
      </c>
      <c r="D36">
        <v>2016</v>
      </c>
      <c r="E36" s="1">
        <v>0.50695601851851857</v>
      </c>
      <c r="F36" s="1">
        <v>0.50739583333333338</v>
      </c>
      <c r="G36" s="1">
        <v>0.5169097222222222</v>
      </c>
      <c r="H36" s="1">
        <v>0.52497685185185183</v>
      </c>
      <c r="I36" s="1">
        <v>0.51749999999999996</v>
      </c>
      <c r="J36" s="1">
        <v>0.52636574074074072</v>
      </c>
      <c r="K36" s="1">
        <v>0.53107638888888886</v>
      </c>
      <c r="L36" s="1">
        <v>0.53383101851851855</v>
      </c>
      <c r="M36" s="1">
        <v>0.53423611111111113</v>
      </c>
      <c r="N36" s="1" t="s">
        <v>343</v>
      </c>
      <c r="O36" s="1" t="s">
        <v>34</v>
      </c>
      <c r="P36" s="1" t="s">
        <v>55</v>
      </c>
      <c r="S36" s="1">
        <v>4.3981481481480955E-4</v>
      </c>
      <c r="T36" s="1">
        <v>9.5138888888888218E-3</v>
      </c>
      <c r="U36" s="1">
        <v>5.9027777777775903E-4</v>
      </c>
      <c r="V36" s="1">
        <v>8.0671296296296324E-3</v>
      </c>
      <c r="W36" s="1">
        <v>1.388888888888884E-3</v>
      </c>
      <c r="X36" s="1">
        <v>1.3576388888888902E-2</v>
      </c>
      <c r="Y36" s="1">
        <v>1.6921296296296351E-2</v>
      </c>
      <c r="Z36" s="1">
        <v>2.7280092592592564E-2</v>
      </c>
    </row>
    <row r="37" spans="1:26" x14ac:dyDescent="0.25">
      <c r="A37">
        <v>4</v>
      </c>
      <c r="B37" t="s">
        <v>376</v>
      </c>
      <c r="C37" t="s">
        <v>377</v>
      </c>
      <c r="D37">
        <v>2012</v>
      </c>
      <c r="E37" s="1">
        <v>0.50850694444444444</v>
      </c>
      <c r="F37" s="1">
        <v>0.50914351851851847</v>
      </c>
      <c r="G37" s="1">
        <v>0.52592592592592591</v>
      </c>
      <c r="H37" s="1">
        <v>0.53317129629629634</v>
      </c>
      <c r="I37" s="1">
        <v>0.52798611111111116</v>
      </c>
      <c r="J37" s="1">
        <v>0.53591435185185188</v>
      </c>
      <c r="K37" s="1">
        <v>0.5393634259259259</v>
      </c>
      <c r="L37" s="1">
        <v>0.54465277777777776</v>
      </c>
      <c r="M37" s="1">
        <v>0.54501157407407408</v>
      </c>
      <c r="N37" s="1" t="s">
        <v>378</v>
      </c>
      <c r="O37" s="1" t="s">
        <v>34</v>
      </c>
      <c r="P37" s="1" t="s">
        <v>379</v>
      </c>
      <c r="S37" s="1">
        <v>6.3657407407402555E-4</v>
      </c>
      <c r="T37" s="1">
        <v>1.678240740740744E-2</v>
      </c>
      <c r="U37" s="1">
        <v>2.0601851851852482E-3</v>
      </c>
      <c r="V37" s="1">
        <v>7.2453703703704297E-3</v>
      </c>
      <c r="W37" s="1">
        <v>2.7430555555555403E-3</v>
      </c>
      <c r="X37" s="1">
        <v>1.1377314814814743E-2</v>
      </c>
      <c r="Y37" s="1">
        <v>1.8726851851851856E-2</v>
      </c>
      <c r="Z37" s="1">
        <v>3.6504629629629637E-2</v>
      </c>
    </row>
    <row r="38" spans="1:26" x14ac:dyDescent="0.25">
      <c r="A38">
        <v>1</v>
      </c>
      <c r="B38" t="s">
        <v>380</v>
      </c>
      <c r="C38" t="s">
        <v>381</v>
      </c>
      <c r="D38">
        <v>2018</v>
      </c>
      <c r="E38" s="1">
        <v>0.51938657407407407</v>
      </c>
      <c r="F38" s="1">
        <v>0.51982638888888888</v>
      </c>
      <c r="G38" s="1">
        <v>0.53037037037037038</v>
      </c>
      <c r="H38" s="1">
        <v>0.53728009259259257</v>
      </c>
      <c r="I38" s="1">
        <v>0.53121527777777777</v>
      </c>
      <c r="J38" s="1">
        <v>0.54351851851851851</v>
      </c>
      <c r="K38" s="1">
        <v>0.54809027777777775</v>
      </c>
      <c r="L38" s="1">
        <v>0.54840277777777779</v>
      </c>
      <c r="M38" s="1">
        <v>0.54865740740740743</v>
      </c>
      <c r="N38" s="1" t="s">
        <v>382</v>
      </c>
      <c r="O38" s="1" t="s">
        <v>34</v>
      </c>
      <c r="P38" s="1" t="s">
        <v>55</v>
      </c>
      <c r="S38" s="1">
        <v>4.3981481481480955E-4</v>
      </c>
      <c r="T38" s="1">
        <v>1.0543981481481501E-2</v>
      </c>
      <c r="U38" s="1">
        <v>8.4490740740739145E-4</v>
      </c>
      <c r="V38" s="1">
        <v>6.9097222222221921E-3</v>
      </c>
      <c r="W38" s="1">
        <v>6.2384259259259389E-3</v>
      </c>
      <c r="X38" s="1">
        <v>1.6874999999999973E-2</v>
      </c>
      <c r="Y38" s="1">
        <v>1.8032407407407414E-2</v>
      </c>
      <c r="Z38" s="1">
        <v>2.9270833333333357E-2</v>
      </c>
    </row>
    <row r="39" spans="1:26" x14ac:dyDescent="0.25">
      <c r="A39">
        <v>2</v>
      </c>
      <c r="B39" t="s">
        <v>8</v>
      </c>
      <c r="C39" t="s">
        <v>385</v>
      </c>
      <c r="D39">
        <v>2015</v>
      </c>
      <c r="E39" s="1">
        <v>0.57369212962962968</v>
      </c>
      <c r="F39" s="1">
        <v>0.57393518518518516</v>
      </c>
      <c r="G39" s="1">
        <v>0.57469907407407406</v>
      </c>
      <c r="H39" s="1">
        <v>0.57730324074074069</v>
      </c>
      <c r="I39" s="1">
        <v>0.5761574074074074</v>
      </c>
      <c r="J39" s="1">
        <v>0.57913194444444449</v>
      </c>
      <c r="K39" s="1">
        <v>0.58237268518518515</v>
      </c>
      <c r="L39" s="1">
        <v>0.58368055555555554</v>
      </c>
      <c r="M39" s="1">
        <v>0.58519675925925929</v>
      </c>
      <c r="N39" s="1" t="s">
        <v>54</v>
      </c>
      <c r="O39" s="1" t="s">
        <v>34</v>
      </c>
      <c r="P39" s="1" t="s">
        <v>55</v>
      </c>
      <c r="S39" s="1">
        <v>2.4305555555548253E-4</v>
      </c>
      <c r="T39" s="1">
        <v>7.6388888888889728E-4</v>
      </c>
      <c r="U39" s="1">
        <v>1.4583333333333393E-3</v>
      </c>
      <c r="V39" s="1">
        <v>2.6041666666666297E-3</v>
      </c>
      <c r="W39" s="1">
        <v>1.8287037037038045E-3</v>
      </c>
      <c r="X39" s="1">
        <v>6.2152777777777501E-3</v>
      </c>
      <c r="Y39" s="1">
        <v>8.9814814814814792E-3</v>
      </c>
      <c r="Z39" s="1">
        <v>1.1504629629629615E-2</v>
      </c>
    </row>
    <row r="40" spans="1:26" x14ac:dyDescent="0.25">
      <c r="A40">
        <v>1</v>
      </c>
      <c r="B40" t="s">
        <v>380</v>
      </c>
      <c r="C40" t="s">
        <v>381</v>
      </c>
      <c r="D40">
        <v>2019</v>
      </c>
      <c r="E40" s="1">
        <v>0.58741898148148153</v>
      </c>
      <c r="F40" s="1">
        <v>0.58751157407407406</v>
      </c>
      <c r="G40" s="1">
        <v>0.58807870370370374</v>
      </c>
      <c r="H40" s="1">
        <v>0.59094907407407404</v>
      </c>
      <c r="I40" s="1">
        <v>0.58868055555555554</v>
      </c>
      <c r="J40" s="1">
        <v>0.5917013888888889</v>
      </c>
      <c r="K40" s="1">
        <v>0.59706018518518522</v>
      </c>
      <c r="L40" s="1">
        <v>0.61321759259259256</v>
      </c>
      <c r="M40" s="1">
        <v>0.61684027777777772</v>
      </c>
      <c r="N40" s="1" t="s">
        <v>386</v>
      </c>
      <c r="O40" s="1" t="s">
        <v>34</v>
      </c>
      <c r="P40" s="1" t="s">
        <v>55</v>
      </c>
      <c r="S40" s="1">
        <v>9.2592592592533052E-5</v>
      </c>
      <c r="T40" s="1">
        <v>5.6712962962968128E-4</v>
      </c>
      <c r="U40" s="1">
        <v>6.018518518517979E-4</v>
      </c>
      <c r="V40" s="1">
        <v>2.870370370370301E-3</v>
      </c>
      <c r="W40" s="1">
        <v>7.523148148148584E-4</v>
      </c>
      <c r="X40" s="1">
        <v>8.3796296296296813E-3</v>
      </c>
      <c r="Y40" s="1">
        <v>2.5138888888888822E-2</v>
      </c>
      <c r="Z40" s="1">
        <v>2.9421296296296195E-2</v>
      </c>
    </row>
    <row r="41" spans="1:26" x14ac:dyDescent="0.25">
      <c r="A41">
        <v>2</v>
      </c>
      <c r="B41" t="s">
        <v>387</v>
      </c>
      <c r="C41" t="s">
        <v>388</v>
      </c>
      <c r="D41">
        <v>2020</v>
      </c>
      <c r="E41" s="1">
        <v>0.5988310185185185</v>
      </c>
      <c r="F41" s="1">
        <v>0.59931712962962957</v>
      </c>
      <c r="G41" s="1">
        <v>0.60017361111111112</v>
      </c>
      <c r="H41" s="1">
        <v>0.60405092592592591</v>
      </c>
      <c r="I41" s="1">
        <v>0.60103009259259255</v>
      </c>
      <c r="J41" s="1">
        <v>0.6058217592592593</v>
      </c>
      <c r="K41" s="1">
        <v>0.61344907407407412</v>
      </c>
      <c r="L41" s="1">
        <v>0.61828703703703702</v>
      </c>
      <c r="M41" s="1">
        <v>0.61890046296296297</v>
      </c>
      <c r="N41" s="1" t="s">
        <v>389</v>
      </c>
      <c r="O41" s="1" t="s">
        <v>34</v>
      </c>
      <c r="P41" s="1" t="s">
        <v>379</v>
      </c>
      <c r="S41" s="1">
        <v>4.8611111111107608E-4</v>
      </c>
      <c r="T41" s="1">
        <v>8.5648148148154135E-4</v>
      </c>
      <c r="U41" s="1">
        <v>8.5648148148143033E-4</v>
      </c>
      <c r="V41" s="1">
        <v>3.8773148148147918E-3</v>
      </c>
      <c r="W41" s="1">
        <v>1.7708333333333881E-3</v>
      </c>
      <c r="X41" s="1">
        <v>1.2418981481481572E-2</v>
      </c>
      <c r="Y41" s="1">
        <v>1.8113425925925908E-2</v>
      </c>
      <c r="Z41" s="1">
        <v>2.0069444444444473E-2</v>
      </c>
    </row>
    <row r="42" spans="1:26" x14ac:dyDescent="0.25">
      <c r="A42">
        <v>4</v>
      </c>
      <c r="B42" t="s">
        <v>390</v>
      </c>
      <c r="C42" t="s">
        <v>391</v>
      </c>
      <c r="D42">
        <v>2006</v>
      </c>
      <c r="E42" s="1">
        <v>0.61037037037037034</v>
      </c>
      <c r="F42" s="1">
        <v>0.61054398148148148</v>
      </c>
      <c r="G42" s="1">
        <v>0.6111226851851852</v>
      </c>
      <c r="H42" s="1">
        <v>0.61517361111111113</v>
      </c>
      <c r="I42" s="1">
        <v>0.61260416666666662</v>
      </c>
      <c r="J42" s="1">
        <v>0.61701388888888886</v>
      </c>
      <c r="K42" s="1">
        <v>0.62156250000000002</v>
      </c>
      <c r="L42" s="1">
        <v>0.62759259259259259</v>
      </c>
      <c r="M42" s="1">
        <v>0.62783564814814818</v>
      </c>
      <c r="N42" s="1" t="s">
        <v>392</v>
      </c>
      <c r="O42" s="1" t="s">
        <v>34</v>
      </c>
      <c r="P42" s="1" t="s">
        <v>55</v>
      </c>
      <c r="S42" s="1">
        <v>1.7361111111113825E-4</v>
      </c>
      <c r="T42" s="1">
        <v>5.7870370370372015E-4</v>
      </c>
      <c r="U42" s="1">
        <v>1.481481481481417E-3</v>
      </c>
      <c r="V42" s="1">
        <v>4.05092592592593E-3</v>
      </c>
      <c r="W42" s="1">
        <v>1.8402777777777324E-3</v>
      </c>
      <c r="X42" s="1">
        <v>8.9583333333334014E-3</v>
      </c>
      <c r="Y42" s="1">
        <v>1.6469907407407391E-2</v>
      </c>
      <c r="Z42" s="1">
        <v>1.7465277777777843E-2</v>
      </c>
    </row>
    <row r="43" spans="1:26" x14ac:dyDescent="0.25">
      <c r="A43">
        <v>1</v>
      </c>
      <c r="B43" t="s">
        <v>394</v>
      </c>
      <c r="C43" t="s">
        <v>395</v>
      </c>
      <c r="D43">
        <v>2012</v>
      </c>
      <c r="E43" s="1">
        <v>0.64862268518518518</v>
      </c>
      <c r="F43" s="1">
        <v>0.648900462962963</v>
      </c>
      <c r="G43" s="1">
        <v>0.64983796296296292</v>
      </c>
      <c r="H43" s="1">
        <v>0.65167824074074077</v>
      </c>
      <c r="I43" s="1">
        <v>0.6509490740740741</v>
      </c>
      <c r="J43" s="1">
        <v>0.65869212962962964</v>
      </c>
      <c r="K43" s="1">
        <v>0.66284722222222225</v>
      </c>
      <c r="L43" s="1">
        <v>0.66387731481481482</v>
      </c>
      <c r="M43" s="1">
        <v>0.66497685185185185</v>
      </c>
      <c r="N43" s="1" t="s">
        <v>396</v>
      </c>
      <c r="O43" s="1" t="s">
        <v>34</v>
      </c>
      <c r="P43" s="1" t="s">
        <v>169</v>
      </c>
      <c r="S43" s="1">
        <v>2.777777777778212E-4</v>
      </c>
      <c r="T43" s="1">
        <v>9.374999999999245E-4</v>
      </c>
      <c r="U43" s="1">
        <v>1.1111111111111738E-3</v>
      </c>
      <c r="V43" s="1">
        <v>1.8402777777778434E-3</v>
      </c>
      <c r="W43" s="1">
        <v>7.0138888888888751E-3</v>
      </c>
      <c r="X43" s="1">
        <v>1.1898148148148158E-2</v>
      </c>
      <c r="Y43" s="1">
        <v>1.40393518518519E-2</v>
      </c>
      <c r="Z43" s="1">
        <v>1.635416666666667E-2</v>
      </c>
    </row>
    <row r="44" spans="1:26" x14ac:dyDescent="0.25">
      <c r="A44">
        <v>3</v>
      </c>
      <c r="B44" t="s">
        <v>8</v>
      </c>
      <c r="C44" t="s">
        <v>24</v>
      </c>
      <c r="D44">
        <v>2014</v>
      </c>
      <c r="E44" s="1">
        <v>0.68230324074074078</v>
      </c>
      <c r="F44" s="1">
        <v>0.68307870370370372</v>
      </c>
      <c r="G44" s="1">
        <v>0.68434027777777773</v>
      </c>
      <c r="H44" s="1">
        <v>0.68807870370370372</v>
      </c>
      <c r="I44" s="1">
        <v>0.68571759259259257</v>
      </c>
      <c r="J44" s="1">
        <v>0.69251157407407404</v>
      </c>
      <c r="K44" s="1">
        <v>0.69604166666666667</v>
      </c>
      <c r="L44" s="1">
        <v>0.70030092592592597</v>
      </c>
      <c r="M44" s="1">
        <v>0.70064814814814813</v>
      </c>
      <c r="N44" s="1" t="s">
        <v>400</v>
      </c>
      <c r="O44" s="1" t="s">
        <v>34</v>
      </c>
      <c r="P44" s="1" t="s">
        <v>55</v>
      </c>
      <c r="S44" s="1">
        <v>7.7546296296293615E-4</v>
      </c>
      <c r="T44" s="1">
        <v>1.2615740740740122E-3</v>
      </c>
      <c r="U44" s="1">
        <v>1.3773148148148451E-3</v>
      </c>
      <c r="V44" s="1">
        <v>3.7384259259259922E-3</v>
      </c>
      <c r="W44" s="1">
        <v>4.4328703703703232E-3</v>
      </c>
      <c r="X44" s="1">
        <v>1.0324074074074097E-2</v>
      </c>
      <c r="Y44" s="1">
        <v>1.5960648148148238E-2</v>
      </c>
      <c r="Z44" s="1">
        <v>1.8344907407407351E-2</v>
      </c>
    </row>
    <row r="45" spans="1:26" x14ac:dyDescent="0.25">
      <c r="A45">
        <v>2</v>
      </c>
      <c r="B45" t="s">
        <v>8</v>
      </c>
      <c r="C45" t="s">
        <v>401</v>
      </c>
      <c r="D45">
        <v>2018</v>
      </c>
      <c r="E45" s="1">
        <v>0.70406250000000004</v>
      </c>
      <c r="F45" s="1">
        <v>0.70445601851851847</v>
      </c>
      <c r="G45" s="1">
        <v>0.70506944444444442</v>
      </c>
      <c r="H45" s="1">
        <v>0.70702546296296298</v>
      </c>
      <c r="I45" s="1">
        <v>0.70571759259259259</v>
      </c>
      <c r="J45" s="1">
        <v>0.70871527777777776</v>
      </c>
      <c r="K45" s="1">
        <v>0.71156249999999999</v>
      </c>
      <c r="L45" s="1">
        <v>0.72222222222222221</v>
      </c>
      <c r="M45" s="1">
        <v>0.72310185185185183</v>
      </c>
      <c r="N45" s="1" t="s">
        <v>402</v>
      </c>
      <c r="O45" s="1" t="s">
        <v>34</v>
      </c>
      <c r="P45" s="1" t="s">
        <v>55</v>
      </c>
      <c r="S45" s="1">
        <v>3.93518518518432E-4</v>
      </c>
      <c r="T45" s="1">
        <v>6.134259259259478E-4</v>
      </c>
      <c r="U45" s="1">
        <v>6.4814814814817545E-4</v>
      </c>
      <c r="V45" s="1">
        <v>1.9560185185185652E-3</v>
      </c>
      <c r="W45" s="1">
        <v>1.6898148148147829E-3</v>
      </c>
      <c r="X45" s="1">
        <v>5.8449074074073959E-3</v>
      </c>
      <c r="Y45" s="1">
        <v>1.7152777777777795E-2</v>
      </c>
      <c r="Z45" s="1">
        <v>1.9039351851851793E-2</v>
      </c>
    </row>
    <row r="46" spans="1:26" x14ac:dyDescent="0.25">
      <c r="A46">
        <v>1</v>
      </c>
      <c r="B46" t="s">
        <v>322</v>
      </c>
      <c r="C46" t="s">
        <v>405</v>
      </c>
      <c r="D46">
        <v>2020</v>
      </c>
      <c r="E46" s="1">
        <v>0.71545138888888893</v>
      </c>
      <c r="F46" s="1">
        <v>0.71585648148148151</v>
      </c>
      <c r="G46" s="1">
        <v>0.71644675925925927</v>
      </c>
      <c r="H46" s="1">
        <v>0.71994212962962967</v>
      </c>
      <c r="I46" s="1">
        <v>0.71706018518518522</v>
      </c>
      <c r="J46" s="1">
        <v>0.72624999999999995</v>
      </c>
      <c r="K46" s="1">
        <v>0.72820601851851852</v>
      </c>
      <c r="L46" s="1">
        <v>0.72923611111111108</v>
      </c>
      <c r="M46" s="1">
        <v>0.73181712962962964</v>
      </c>
      <c r="N46" s="1" t="s">
        <v>343</v>
      </c>
      <c r="O46" s="1" t="s">
        <v>34</v>
      </c>
      <c r="P46" s="1" t="s">
        <v>55</v>
      </c>
      <c r="S46" s="1">
        <v>4.050925925925819E-4</v>
      </c>
      <c r="T46" s="1">
        <v>5.9027777777775903E-4</v>
      </c>
      <c r="U46" s="1">
        <v>6.134259259259478E-4</v>
      </c>
      <c r="V46" s="1">
        <v>3.4953703703703987E-3</v>
      </c>
      <c r="W46" s="1">
        <v>6.3078703703702832E-3</v>
      </c>
      <c r="X46" s="1">
        <v>1.1145833333333299E-2</v>
      </c>
      <c r="Y46" s="1">
        <v>1.2789351851851816E-2</v>
      </c>
      <c r="Z46" s="1">
        <v>1.6365740740740709E-2</v>
      </c>
    </row>
    <row r="47" spans="1:26" x14ac:dyDescent="0.25">
      <c r="A47">
        <v>1</v>
      </c>
      <c r="B47" t="s">
        <v>406</v>
      </c>
      <c r="C47" t="s">
        <v>407</v>
      </c>
      <c r="D47">
        <v>2021</v>
      </c>
      <c r="E47" s="1">
        <v>0.72807870370370376</v>
      </c>
      <c r="F47" s="1">
        <v>0.72817129629629629</v>
      </c>
      <c r="G47" s="1">
        <v>0.7299768518518519</v>
      </c>
      <c r="H47" s="1">
        <v>0.73420138888888886</v>
      </c>
      <c r="I47" s="1">
        <v>0.73129629629629633</v>
      </c>
      <c r="J47" s="1">
        <v>0.73731481481481487</v>
      </c>
      <c r="K47" s="1">
        <v>0.74186342592592591</v>
      </c>
      <c r="L47" s="1">
        <v>0.74211805555555554</v>
      </c>
      <c r="M47" s="1">
        <v>0.74342592592592593</v>
      </c>
      <c r="N47" s="1" t="s">
        <v>333</v>
      </c>
      <c r="O47" s="1" t="s">
        <v>34</v>
      </c>
      <c r="P47" s="1" t="s">
        <v>55</v>
      </c>
      <c r="S47" s="1">
        <v>9.2592592592533052E-5</v>
      </c>
      <c r="T47" s="1">
        <v>1.8055555555556158E-3</v>
      </c>
      <c r="U47" s="1">
        <v>1.3194444444444287E-3</v>
      </c>
      <c r="V47" s="1">
        <v>4.2245370370369573E-3</v>
      </c>
      <c r="W47" s="1">
        <v>3.1134259259260055E-3</v>
      </c>
      <c r="X47" s="1">
        <v>1.0567129629629579E-2</v>
      </c>
      <c r="Y47" s="1">
        <v>1.214120370370364E-2</v>
      </c>
      <c r="Z47" s="1">
        <v>1.5347222222222179E-2</v>
      </c>
    </row>
    <row r="48" spans="1:26" x14ac:dyDescent="0.25">
      <c r="A48">
        <v>1</v>
      </c>
      <c r="B48" t="s">
        <v>250</v>
      </c>
      <c r="C48" t="s">
        <v>408</v>
      </c>
      <c r="D48">
        <v>2016</v>
      </c>
      <c r="E48" s="1">
        <v>0.73776620370370372</v>
      </c>
      <c r="F48" s="1">
        <v>0.73797453703703708</v>
      </c>
      <c r="G48" s="1">
        <v>0.73936342592592597</v>
      </c>
      <c r="H48" s="1">
        <v>0.74384259259259256</v>
      </c>
      <c r="I48" s="1">
        <v>0.74111111111111116</v>
      </c>
      <c r="J48" s="1">
        <v>0.74914351851851857</v>
      </c>
      <c r="K48" s="1">
        <v>0.75951388888888893</v>
      </c>
      <c r="L48" s="1">
        <v>0.75991898148148151</v>
      </c>
      <c r="M48" s="1">
        <v>0.76145833333333335</v>
      </c>
      <c r="N48" s="1" t="s">
        <v>409</v>
      </c>
      <c r="O48" s="1" t="s">
        <v>34</v>
      </c>
      <c r="P48" s="1" t="s">
        <v>55</v>
      </c>
      <c r="S48" s="1">
        <v>2.083333333333659E-4</v>
      </c>
      <c r="T48" s="1">
        <v>1.388888888888884E-3</v>
      </c>
      <c r="U48" s="1">
        <v>1.7476851851851993E-3</v>
      </c>
      <c r="V48" s="1">
        <v>4.4791666666665897E-3</v>
      </c>
      <c r="W48" s="1">
        <v>5.3009259259260144E-3</v>
      </c>
      <c r="X48" s="1">
        <v>1.8402777777777768E-2</v>
      </c>
      <c r="Y48" s="1">
        <v>2.0555555555555549E-2</v>
      </c>
      <c r="Z48" s="1">
        <v>2.3692129629629632E-2</v>
      </c>
    </row>
    <row r="49" spans="1:26" x14ac:dyDescent="0.25">
      <c r="A49">
        <v>1</v>
      </c>
      <c r="B49" t="s">
        <v>56</v>
      </c>
      <c r="C49" t="s">
        <v>410</v>
      </c>
      <c r="D49">
        <v>2014</v>
      </c>
      <c r="E49" s="1">
        <v>0.74065972222222221</v>
      </c>
      <c r="F49" s="1">
        <v>0.74087962962962961</v>
      </c>
      <c r="G49" s="1">
        <v>0.74349537037037039</v>
      </c>
      <c r="H49" s="1">
        <v>0.74653935185185183</v>
      </c>
      <c r="I49" s="1">
        <v>0.74414351851851857</v>
      </c>
      <c r="J49" s="1">
        <v>0.7522685185185185</v>
      </c>
      <c r="K49" s="1">
        <v>0.75760416666666663</v>
      </c>
      <c r="L49" s="1">
        <v>0.75872685185185185</v>
      </c>
      <c r="M49" s="1">
        <v>0.76037037037037036</v>
      </c>
      <c r="N49" s="1" t="s">
        <v>411</v>
      </c>
      <c r="O49" s="1" t="s">
        <v>34</v>
      </c>
      <c r="P49" s="1" t="s">
        <v>55</v>
      </c>
      <c r="S49" s="1">
        <v>2.1990740740740478E-4</v>
      </c>
      <c r="T49" s="1">
        <v>2.6157407407407796E-3</v>
      </c>
      <c r="U49" s="1">
        <v>6.4814814814817545E-4</v>
      </c>
      <c r="V49" s="1">
        <v>3.0439814814814392E-3</v>
      </c>
      <c r="W49" s="1">
        <v>5.7291666666666741E-3</v>
      </c>
      <c r="X49" s="1">
        <v>1.3460648148148069E-2</v>
      </c>
      <c r="Y49" s="1">
        <v>1.5231481481481457E-2</v>
      </c>
      <c r="Z49" s="1">
        <v>1.9710648148148158E-2</v>
      </c>
    </row>
    <row r="50" spans="1:26" x14ac:dyDescent="0.25">
      <c r="A50">
        <v>3</v>
      </c>
      <c r="B50" t="s">
        <v>38</v>
      </c>
      <c r="C50" t="s">
        <v>412</v>
      </c>
      <c r="D50">
        <v>2021</v>
      </c>
      <c r="E50" s="1">
        <v>0.76467592592592593</v>
      </c>
      <c r="F50" s="1">
        <v>0.76484953703703706</v>
      </c>
      <c r="G50" s="1">
        <v>0.76629629629629625</v>
      </c>
      <c r="H50" s="1">
        <v>0.76916666666666667</v>
      </c>
      <c r="I50" s="1">
        <v>0.76695601851851847</v>
      </c>
      <c r="J50" s="1">
        <v>0.77140046296296294</v>
      </c>
      <c r="K50" s="1">
        <v>0.78252314814814816</v>
      </c>
      <c r="L50" s="1">
        <v>0.78265046296296292</v>
      </c>
      <c r="M50" s="1">
        <v>0.783599537037037</v>
      </c>
      <c r="N50" s="1" t="s">
        <v>413</v>
      </c>
      <c r="O50" s="1" t="s">
        <v>34</v>
      </c>
      <c r="P50" s="1" t="s">
        <v>55</v>
      </c>
      <c r="S50" s="1">
        <v>1.7361111111113825E-4</v>
      </c>
      <c r="T50" s="1">
        <v>1.4467592592591894E-3</v>
      </c>
      <c r="U50" s="1">
        <v>6.5972222222221433E-4</v>
      </c>
      <c r="V50" s="1">
        <v>2.870370370370412E-3</v>
      </c>
      <c r="W50" s="1">
        <v>2.2337962962962754E-3</v>
      </c>
      <c r="X50" s="1">
        <v>1.5567129629629695E-2</v>
      </c>
      <c r="Y50" s="1">
        <v>1.635416666666667E-2</v>
      </c>
      <c r="Z50" s="1">
        <v>1.8923611111111072E-2</v>
      </c>
    </row>
    <row r="51" spans="1:26" x14ac:dyDescent="0.25">
      <c r="A51">
        <v>1</v>
      </c>
      <c r="B51" t="s">
        <v>15</v>
      </c>
      <c r="C51" t="s">
        <v>414</v>
      </c>
      <c r="D51">
        <v>2020</v>
      </c>
      <c r="E51" s="1">
        <v>0.3869097222222222</v>
      </c>
      <c r="F51" s="1">
        <v>0.3871412037037037</v>
      </c>
      <c r="G51" s="1">
        <v>0.38778935185185187</v>
      </c>
      <c r="H51" s="1">
        <v>0.39018518518518519</v>
      </c>
      <c r="I51" s="1">
        <v>0.38854166666666667</v>
      </c>
      <c r="J51" s="1">
        <v>0.39357638888888891</v>
      </c>
      <c r="K51" s="1">
        <v>0.41189814814814812</v>
      </c>
      <c r="L51" s="1">
        <v>0.41214120370370372</v>
      </c>
      <c r="M51" s="1">
        <v>0.43489583333333331</v>
      </c>
      <c r="N51" s="1" t="s">
        <v>415</v>
      </c>
      <c r="O51" s="1" t="s">
        <v>34</v>
      </c>
      <c r="P51" s="1" t="s">
        <v>169</v>
      </c>
      <c r="S51" s="1">
        <v>2.3148148148149916E-4</v>
      </c>
      <c r="T51" s="1">
        <v>6.4814814814817545E-4</v>
      </c>
      <c r="U51" s="1">
        <v>7.5231481481480289E-4</v>
      </c>
      <c r="V51" s="1">
        <v>2.3958333333333193E-3</v>
      </c>
      <c r="W51" s="1">
        <v>3.3912037037037157E-3</v>
      </c>
      <c r="X51" s="1">
        <v>2.335648148148145E-2</v>
      </c>
      <c r="Y51" s="1">
        <v>2.4351851851851847E-2</v>
      </c>
      <c r="Z51" s="1">
        <v>4.7986111111111118E-2</v>
      </c>
    </row>
    <row r="52" spans="1:26" x14ac:dyDescent="0.25">
      <c r="A52">
        <v>4</v>
      </c>
      <c r="B52" t="s">
        <v>416</v>
      </c>
      <c r="C52" t="s">
        <v>417</v>
      </c>
      <c r="D52">
        <v>2014</v>
      </c>
      <c r="E52" s="1">
        <v>0.39447916666666666</v>
      </c>
      <c r="F52" s="1">
        <v>0.39461805555555557</v>
      </c>
      <c r="G52" s="1">
        <v>0.39554398148148145</v>
      </c>
      <c r="H52" s="1">
        <v>0.39859953703703704</v>
      </c>
      <c r="I52" s="1">
        <v>0.39672453703703703</v>
      </c>
      <c r="J52" s="1">
        <v>0.40119212962962963</v>
      </c>
      <c r="K52" s="1">
        <v>0.40414351851851854</v>
      </c>
      <c r="L52" s="1">
        <v>0.40781250000000002</v>
      </c>
      <c r="M52" s="1">
        <v>0.40824074074074074</v>
      </c>
      <c r="N52" s="1" t="s">
        <v>418</v>
      </c>
      <c r="O52" s="1" t="s">
        <v>34</v>
      </c>
      <c r="P52" s="1" t="s">
        <v>169</v>
      </c>
      <c r="S52" s="1">
        <v>1.388888888889106E-4</v>
      </c>
      <c r="T52" s="1">
        <v>9.2592592592588563E-4</v>
      </c>
      <c r="U52" s="1">
        <v>1.1805555555555736E-3</v>
      </c>
      <c r="V52" s="1">
        <v>3.0555555555555891E-3</v>
      </c>
      <c r="W52" s="1">
        <v>2.5925925925925908E-3</v>
      </c>
      <c r="X52" s="1">
        <v>7.4189814814815125E-3</v>
      </c>
      <c r="Y52" s="1">
        <v>1.2268518518518567E-2</v>
      </c>
      <c r="Z52" s="1">
        <v>1.3761574074074079E-2</v>
      </c>
    </row>
    <row r="53" spans="1:26" x14ac:dyDescent="0.25">
      <c r="A53">
        <v>1</v>
      </c>
      <c r="B53" t="s">
        <v>38</v>
      </c>
      <c r="C53" t="s">
        <v>419</v>
      </c>
      <c r="D53">
        <v>2018</v>
      </c>
      <c r="E53" s="1">
        <v>0.4140625</v>
      </c>
      <c r="F53" s="1">
        <v>0.41422453703703704</v>
      </c>
      <c r="G53" s="1">
        <v>0.4148263888888889</v>
      </c>
      <c r="H53" s="1">
        <v>0.41799768518518521</v>
      </c>
      <c r="I53" s="1">
        <v>0.41646990740740741</v>
      </c>
      <c r="J53" s="1">
        <v>0.41915509259259259</v>
      </c>
      <c r="K53" s="1">
        <v>0.42520833333333335</v>
      </c>
      <c r="L53" s="1">
        <v>0.42653935185185188</v>
      </c>
      <c r="M53" s="1">
        <v>0.42761574074074077</v>
      </c>
      <c r="N53" s="1" t="s">
        <v>420</v>
      </c>
      <c r="O53" s="1" t="s">
        <v>34</v>
      </c>
      <c r="P53" s="1" t="s">
        <v>55</v>
      </c>
      <c r="S53" s="1">
        <v>1.6203703703704386E-4</v>
      </c>
      <c r="T53" s="1">
        <v>6.0185185185185341E-4</v>
      </c>
      <c r="U53" s="1">
        <v>1.6435185185185164E-3</v>
      </c>
      <c r="V53" s="1">
        <v>3.1712962962963109E-3</v>
      </c>
      <c r="W53" s="1">
        <v>1.1574074074073848E-3</v>
      </c>
      <c r="X53" s="1">
        <v>8.7384259259259411E-3</v>
      </c>
      <c r="Y53" s="1">
        <v>1.1712962962962981E-2</v>
      </c>
      <c r="Z53" s="1">
        <v>1.3553240740740768E-2</v>
      </c>
    </row>
    <row r="54" spans="1:26" x14ac:dyDescent="0.25">
      <c r="A54">
        <v>1</v>
      </c>
      <c r="B54" t="s">
        <v>322</v>
      </c>
      <c r="C54" t="s">
        <v>323</v>
      </c>
      <c r="D54">
        <v>2023</v>
      </c>
      <c r="E54" s="1">
        <v>0.4286226851851852</v>
      </c>
      <c r="F54" s="1">
        <v>0.4289351851851852</v>
      </c>
      <c r="G54" s="1">
        <v>0.4296875</v>
      </c>
      <c r="H54" s="1">
        <v>0.43178240740740742</v>
      </c>
      <c r="I54" s="1">
        <v>0.43046296296296294</v>
      </c>
      <c r="J54" s="1">
        <v>0.4337847222222222</v>
      </c>
      <c r="K54" s="1">
        <v>0.43751157407407409</v>
      </c>
      <c r="L54" s="1">
        <v>0.43777777777777777</v>
      </c>
      <c r="M54" s="1">
        <v>0.43814814814814818</v>
      </c>
      <c r="N54" s="1" t="s">
        <v>352</v>
      </c>
      <c r="O54" s="1" t="s">
        <v>34</v>
      </c>
      <c r="P54" s="1" t="s">
        <v>55</v>
      </c>
      <c r="S54" s="1">
        <v>3.1249999999999334E-4</v>
      </c>
      <c r="T54" s="1">
        <v>7.5231481481480289E-4</v>
      </c>
      <c r="U54" s="1">
        <v>7.7546296296293615E-4</v>
      </c>
      <c r="V54" s="1">
        <v>2.0949074074074203E-3</v>
      </c>
      <c r="W54" s="1">
        <v>2.0023148148147762E-3</v>
      </c>
      <c r="X54" s="1">
        <v>7.0486111111111582E-3</v>
      </c>
      <c r="Y54" s="1">
        <v>8.0902777777777657E-3</v>
      </c>
      <c r="Z54" s="1">
        <v>9.5254629629629717E-3</v>
      </c>
    </row>
    <row r="55" spans="1:26" x14ac:dyDescent="0.25">
      <c r="A55">
        <v>2</v>
      </c>
      <c r="B55" t="s">
        <v>406</v>
      </c>
      <c r="C55" t="s">
        <v>355</v>
      </c>
      <c r="D55">
        <v>2023</v>
      </c>
      <c r="E55" s="1">
        <v>0.43461805555555555</v>
      </c>
      <c r="F55" s="1">
        <v>0.43481481481481482</v>
      </c>
      <c r="G55" s="1">
        <v>0.43550925925925926</v>
      </c>
      <c r="H55" s="1">
        <v>0.43763888888888891</v>
      </c>
      <c r="I55" s="1">
        <v>0.43614583333333334</v>
      </c>
      <c r="J55" s="1">
        <v>0.43989583333333332</v>
      </c>
      <c r="K55" s="1">
        <v>0.44283564814814813</v>
      </c>
      <c r="L55" s="1">
        <v>0.44347222222222221</v>
      </c>
      <c r="M55" s="1">
        <v>0.44408564814814816</v>
      </c>
      <c r="N55" s="1" t="s">
        <v>343</v>
      </c>
      <c r="O55" s="1" t="s">
        <v>34</v>
      </c>
      <c r="P55" s="1" t="s">
        <v>55</v>
      </c>
      <c r="S55" s="1">
        <v>1.9675925925927151E-4</v>
      </c>
      <c r="T55" s="1">
        <v>6.9444444444444198E-4</v>
      </c>
      <c r="U55" s="1">
        <v>6.3657407407408106E-4</v>
      </c>
      <c r="V55" s="1">
        <v>2.129629629629648E-3</v>
      </c>
      <c r="W55" s="1">
        <v>2.2569444444444087E-3</v>
      </c>
      <c r="X55" s="1">
        <v>6.6898148148147873E-3</v>
      </c>
      <c r="Y55" s="1">
        <v>7.9629629629629495E-3</v>
      </c>
      <c r="Z55" s="1">
        <v>9.4675925925926108E-3</v>
      </c>
    </row>
    <row r="56" spans="1:26" x14ac:dyDescent="0.25">
      <c r="A56">
        <v>1</v>
      </c>
      <c r="B56" t="s">
        <v>406</v>
      </c>
      <c r="C56" t="s">
        <v>355</v>
      </c>
      <c r="D56">
        <v>2024</v>
      </c>
      <c r="E56" s="1">
        <v>0.44523148148148151</v>
      </c>
      <c r="F56" s="1">
        <v>0.4455439814814815</v>
      </c>
      <c r="G56" s="1">
        <v>0.44601851851851854</v>
      </c>
      <c r="H56" s="1">
        <v>0.44873842592592594</v>
      </c>
      <c r="I56" s="1">
        <v>0.4470486111111111</v>
      </c>
      <c r="J56" s="1">
        <v>0.45148148148148148</v>
      </c>
      <c r="K56" s="1">
        <v>0.45452546296296298</v>
      </c>
      <c r="L56" s="1">
        <v>0.45472222222222225</v>
      </c>
      <c r="M56" s="1">
        <v>0.45626157407407408</v>
      </c>
      <c r="N56" s="1" t="s">
        <v>421</v>
      </c>
      <c r="O56" s="1" t="s">
        <v>34</v>
      </c>
      <c r="P56" s="1" t="s">
        <v>55</v>
      </c>
      <c r="S56" s="1">
        <v>3.1249999999999334E-4</v>
      </c>
      <c r="T56" s="1">
        <v>4.745370370370372E-4</v>
      </c>
      <c r="U56" s="1">
        <v>1.0300925925925686E-3</v>
      </c>
      <c r="V56" s="1">
        <v>2.719907407407407E-3</v>
      </c>
      <c r="W56" s="1">
        <v>2.7430555555555403E-3</v>
      </c>
      <c r="X56" s="1">
        <v>7.4768518518518734E-3</v>
      </c>
      <c r="Y56" s="1">
        <v>8.7037037037037135E-3</v>
      </c>
      <c r="Z56" s="1">
        <v>1.1030092592592577E-2</v>
      </c>
    </row>
    <row r="57" spans="1:26" x14ac:dyDescent="0.25">
      <c r="A57">
        <v>1</v>
      </c>
      <c r="B57" t="s">
        <v>406</v>
      </c>
      <c r="C57" t="s">
        <v>422</v>
      </c>
      <c r="D57">
        <v>2022</v>
      </c>
      <c r="E57" s="1">
        <v>0.46402777777777776</v>
      </c>
      <c r="F57" s="1">
        <v>0.46418981481481481</v>
      </c>
      <c r="G57" s="1">
        <v>0.4649537037037037</v>
      </c>
      <c r="H57" s="1">
        <v>0.46811342592592592</v>
      </c>
      <c r="I57" s="1">
        <v>0.4657175925925926</v>
      </c>
      <c r="J57" s="1">
        <v>0.46993055555555557</v>
      </c>
      <c r="K57" s="1">
        <v>0.47221064814814817</v>
      </c>
      <c r="L57" s="1">
        <v>0.47300925925925924</v>
      </c>
      <c r="M57" s="1">
        <v>0.47450231481481481</v>
      </c>
      <c r="N57" s="1" t="s">
        <v>345</v>
      </c>
      <c r="O57" s="1" t="s">
        <v>34</v>
      </c>
      <c r="P57" s="1" t="s">
        <v>55</v>
      </c>
      <c r="S57" s="1">
        <v>1.6203703703704386E-4</v>
      </c>
      <c r="T57" s="1">
        <v>7.6388888888889728E-4</v>
      </c>
      <c r="U57" s="1">
        <v>7.6388888888889728E-4</v>
      </c>
      <c r="V57" s="1">
        <v>3.1597222222222165E-3</v>
      </c>
      <c r="W57" s="1">
        <v>1.8171296296296546E-3</v>
      </c>
      <c r="X57" s="1">
        <v>6.4930555555555713E-3</v>
      </c>
      <c r="Y57" s="1">
        <v>8.055555555555538E-3</v>
      </c>
      <c r="Z57" s="1">
        <v>1.0474537037037046E-2</v>
      </c>
    </row>
    <row r="58" spans="1:26" x14ac:dyDescent="0.25">
      <c r="A58">
        <v>1</v>
      </c>
      <c r="B58" t="s">
        <v>380</v>
      </c>
      <c r="C58" t="s">
        <v>426</v>
      </c>
      <c r="D58">
        <v>2018</v>
      </c>
      <c r="E58" s="1">
        <v>0.5367939814814815</v>
      </c>
      <c r="F58" s="1">
        <v>0.53693287037037041</v>
      </c>
      <c r="G58" s="1">
        <v>0.53765046296296293</v>
      </c>
      <c r="H58" s="1">
        <v>0.54181712962962958</v>
      </c>
      <c r="I58" s="1">
        <v>0.53870370370370368</v>
      </c>
      <c r="J58" s="1">
        <v>0.54369212962962965</v>
      </c>
      <c r="K58" s="1">
        <v>0.55354166666666671</v>
      </c>
      <c r="L58" s="1">
        <v>0.55379629629629634</v>
      </c>
      <c r="M58" s="1">
        <v>0.55457175925925928</v>
      </c>
      <c r="N58" s="1" t="s">
        <v>343</v>
      </c>
      <c r="O58" s="1" t="s">
        <v>34</v>
      </c>
      <c r="P58" s="1" t="s">
        <v>55</v>
      </c>
      <c r="S58" s="1">
        <v>1.388888888889106E-4</v>
      </c>
      <c r="T58" s="1">
        <v>7.1759259259251973E-4</v>
      </c>
      <c r="U58" s="1">
        <v>1.0532407407407574E-3</v>
      </c>
      <c r="V58" s="1">
        <v>4.1666666666666519E-3</v>
      </c>
      <c r="W58" s="1">
        <v>1.8750000000000711E-3</v>
      </c>
      <c r="X58" s="1">
        <v>1.4837962962963025E-2</v>
      </c>
      <c r="Y58" s="1">
        <v>1.6145833333333415E-2</v>
      </c>
      <c r="Z58" s="1">
        <v>1.7777777777777781E-2</v>
      </c>
    </row>
    <row r="59" spans="1:26" x14ac:dyDescent="0.25">
      <c r="A59">
        <v>1</v>
      </c>
      <c r="B59" t="s">
        <v>416</v>
      </c>
      <c r="C59" t="s">
        <v>428</v>
      </c>
      <c r="D59">
        <v>2025</v>
      </c>
      <c r="E59" s="1">
        <v>0.56314814814814818</v>
      </c>
      <c r="F59" s="1">
        <v>0.56329861111111112</v>
      </c>
      <c r="G59" s="1">
        <v>0.56409722222222225</v>
      </c>
      <c r="H59" s="1">
        <v>0.56687500000000002</v>
      </c>
      <c r="I59" s="1">
        <v>0.5649305555555556</v>
      </c>
      <c r="J59" s="1">
        <v>0.56793981481481481</v>
      </c>
      <c r="K59" s="1">
        <v>0.57568287037037036</v>
      </c>
      <c r="L59" s="1">
        <v>0.57581018518518523</v>
      </c>
      <c r="M59" s="1">
        <v>0.57671296296296293</v>
      </c>
      <c r="N59" s="1" t="s">
        <v>429</v>
      </c>
      <c r="O59" s="1" t="s">
        <v>34</v>
      </c>
      <c r="P59" s="1" t="s">
        <v>169</v>
      </c>
      <c r="S59" s="1">
        <v>1.5046296296294948E-4</v>
      </c>
      <c r="T59" s="1">
        <v>7.9861111111112493E-4</v>
      </c>
      <c r="U59" s="1">
        <v>8.3333333333335258E-4</v>
      </c>
      <c r="V59" s="1">
        <v>2.7777777777777679E-3</v>
      </c>
      <c r="W59" s="1">
        <v>1.0648148148147962E-3</v>
      </c>
      <c r="X59" s="1">
        <v>1.0752314814814756E-2</v>
      </c>
      <c r="Y59" s="1">
        <v>1.1712962962962981E-2</v>
      </c>
      <c r="Z59" s="1">
        <v>1.3564814814814752E-2</v>
      </c>
    </row>
    <row r="60" spans="1:26" x14ac:dyDescent="0.25">
      <c r="A60">
        <v>1</v>
      </c>
      <c r="B60" t="s">
        <v>15</v>
      </c>
      <c r="C60" t="s">
        <v>430</v>
      </c>
      <c r="D60">
        <v>2017</v>
      </c>
      <c r="E60" s="1">
        <v>0.57821759259259264</v>
      </c>
      <c r="F60" s="1">
        <v>0.57831018518518518</v>
      </c>
      <c r="G60" s="1">
        <v>0.57917824074074076</v>
      </c>
      <c r="H60" s="1">
        <v>0.58113425925925921</v>
      </c>
      <c r="I60" s="1">
        <v>0.5799305555555555</v>
      </c>
      <c r="J60" s="1">
        <v>0.58283564814814814</v>
      </c>
      <c r="K60" s="1">
        <v>0.58581018518518524</v>
      </c>
      <c r="L60" s="1">
        <v>0.58643518518518523</v>
      </c>
      <c r="M60" s="1">
        <v>0.58699074074074076</v>
      </c>
      <c r="N60" s="1" t="s">
        <v>431</v>
      </c>
      <c r="O60" s="1" t="s">
        <v>34</v>
      </c>
      <c r="P60" s="1" t="s">
        <v>169</v>
      </c>
      <c r="S60" s="1">
        <v>9.2592592592533052E-5</v>
      </c>
      <c r="T60" s="1">
        <v>8.6805555555558023E-4</v>
      </c>
      <c r="U60" s="1">
        <v>7.5231481481474738E-4</v>
      </c>
      <c r="V60" s="1">
        <v>1.9560185185184542E-3</v>
      </c>
      <c r="W60" s="1">
        <v>1.7013888888889328E-3</v>
      </c>
      <c r="X60" s="1">
        <v>5.8796296296297346E-3</v>
      </c>
      <c r="Y60" s="1">
        <v>7.2569444444444686E-3</v>
      </c>
      <c r="Z60" s="1">
        <v>8.7731481481481133E-3</v>
      </c>
    </row>
    <row r="61" spans="1:26" x14ac:dyDescent="0.25">
      <c r="A61">
        <v>2</v>
      </c>
      <c r="B61" t="s">
        <v>394</v>
      </c>
      <c r="C61" t="s">
        <v>434</v>
      </c>
      <c r="D61">
        <v>2024</v>
      </c>
      <c r="E61" s="1">
        <v>0.60243055555555558</v>
      </c>
      <c r="F61" s="1">
        <v>0.60248842592592589</v>
      </c>
      <c r="G61" s="1">
        <v>0.60275462962962967</v>
      </c>
      <c r="H61" s="1">
        <v>0.60468750000000004</v>
      </c>
      <c r="I61" s="1">
        <v>0.60393518518518519</v>
      </c>
      <c r="J61" s="1">
        <v>0.60468750000000004</v>
      </c>
      <c r="K61" s="1">
        <v>0.61046296296296299</v>
      </c>
      <c r="L61" s="1">
        <v>0.6107407407407407</v>
      </c>
      <c r="M61" s="1">
        <v>0.65378472222222217</v>
      </c>
      <c r="N61" s="1" t="s">
        <v>291</v>
      </c>
      <c r="O61" s="1" t="s">
        <v>34</v>
      </c>
      <c r="P61" s="1" t="s">
        <v>169</v>
      </c>
      <c r="S61" s="1">
        <v>5.7870370370305402E-5</v>
      </c>
      <c r="T61" s="1">
        <v>2.6620370370378232E-4</v>
      </c>
      <c r="U61" s="1">
        <v>1.1805555555555181E-3</v>
      </c>
      <c r="V61" s="1">
        <v>1.9328703703703765E-3</v>
      </c>
      <c r="W61" s="1">
        <v>0</v>
      </c>
      <c r="X61" s="1">
        <v>6.527777777777799E-3</v>
      </c>
      <c r="Y61" s="1">
        <v>7.9861111111110272E-3</v>
      </c>
      <c r="Z61" s="1">
        <v>5.135416666666659E-2</v>
      </c>
    </row>
    <row r="62" spans="1:26" x14ac:dyDescent="0.25">
      <c r="A62">
        <v>1</v>
      </c>
      <c r="B62" t="s">
        <v>416</v>
      </c>
      <c r="C62" t="s">
        <v>436</v>
      </c>
      <c r="D62">
        <v>2015</v>
      </c>
      <c r="E62" s="1">
        <v>0.63103009259259257</v>
      </c>
      <c r="F62" s="1">
        <v>0.63131944444444443</v>
      </c>
      <c r="G62" s="1">
        <v>0.6325115740740741</v>
      </c>
      <c r="H62" s="1">
        <v>0.63608796296296299</v>
      </c>
      <c r="I62" s="1">
        <v>0.63310185185185186</v>
      </c>
      <c r="J62" s="1">
        <v>0.63849537037037041</v>
      </c>
      <c r="K62" s="1">
        <v>0.64145833333333335</v>
      </c>
      <c r="L62" s="1">
        <v>0.64202546296296292</v>
      </c>
      <c r="M62" s="1">
        <v>0.64388888888888884</v>
      </c>
      <c r="N62" s="1" t="s">
        <v>421</v>
      </c>
      <c r="O62" s="1" t="s">
        <v>34</v>
      </c>
      <c r="P62" s="1" t="s">
        <v>169</v>
      </c>
      <c r="S62" s="1">
        <v>2.8935185185186008E-4</v>
      </c>
      <c r="T62" s="1">
        <v>1.192129629629668E-3</v>
      </c>
      <c r="U62" s="1">
        <v>5.9027777777775903E-4</v>
      </c>
      <c r="V62" s="1">
        <v>3.5763888888888928E-3</v>
      </c>
      <c r="W62" s="1">
        <v>2.4074074074074137E-3</v>
      </c>
      <c r="X62" s="1">
        <v>8.3564814814814925E-3</v>
      </c>
      <c r="Y62" s="1">
        <v>9.5138888888888218E-3</v>
      </c>
      <c r="Z62" s="1">
        <v>1.2858796296296271E-2</v>
      </c>
    </row>
    <row r="63" spans="1:26" x14ac:dyDescent="0.25">
      <c r="A63">
        <v>2</v>
      </c>
      <c r="B63" t="s">
        <v>440</v>
      </c>
      <c r="C63" t="s">
        <v>441</v>
      </c>
      <c r="D63">
        <v>2016</v>
      </c>
      <c r="E63" s="1">
        <v>0.64802083333333338</v>
      </c>
      <c r="F63" s="1">
        <v>0.64815972222222218</v>
      </c>
      <c r="G63" s="1">
        <v>0.64937500000000004</v>
      </c>
      <c r="H63" s="1">
        <v>0.65364583333333337</v>
      </c>
      <c r="I63" s="1">
        <v>0.65016203703703701</v>
      </c>
      <c r="J63" s="1">
        <v>0.65837962962962959</v>
      </c>
      <c r="K63" s="1">
        <v>0.66168981481481481</v>
      </c>
      <c r="L63" s="1">
        <v>0.66226851851851853</v>
      </c>
      <c r="M63" s="1">
        <v>0.66886574074074079</v>
      </c>
      <c r="N63" s="1" t="s">
        <v>442</v>
      </c>
      <c r="O63" s="1" t="s">
        <v>34</v>
      </c>
      <c r="P63" s="1" t="s">
        <v>180</v>
      </c>
      <c r="S63" s="1">
        <v>1.3888888888879958E-4</v>
      </c>
      <c r="T63" s="1">
        <v>1.2152777777778567E-3</v>
      </c>
      <c r="U63" s="1">
        <v>7.8703703703697503E-4</v>
      </c>
      <c r="V63" s="1">
        <v>4.2708333333333348E-3</v>
      </c>
      <c r="W63" s="1">
        <v>4.7337962962962221E-3</v>
      </c>
      <c r="X63" s="1">
        <v>1.1527777777777803E-2</v>
      </c>
      <c r="Y63" s="1">
        <v>1.2893518518518499E-2</v>
      </c>
      <c r="Z63" s="1">
        <v>2.0844907407407409E-2</v>
      </c>
    </row>
    <row r="64" spans="1:26" x14ac:dyDescent="0.25">
      <c r="A64">
        <v>2</v>
      </c>
      <c r="B64" t="s">
        <v>444</v>
      </c>
      <c r="C64" t="s">
        <v>445</v>
      </c>
      <c r="D64">
        <v>2010</v>
      </c>
      <c r="E64" s="1">
        <v>0.6653472222222222</v>
      </c>
      <c r="F64" s="1">
        <v>0.66570601851851852</v>
      </c>
      <c r="G64" s="1">
        <v>0.66628472222222224</v>
      </c>
      <c r="H64" s="1">
        <v>0.67219907407407409</v>
      </c>
      <c r="I64" s="1">
        <v>0.66748842592592594</v>
      </c>
      <c r="J64" s="1">
        <v>0.6739236111111111</v>
      </c>
      <c r="K64" s="1">
        <v>0.67972222222222223</v>
      </c>
      <c r="L64" s="1">
        <v>0.68030092592592595</v>
      </c>
      <c r="M64" s="1">
        <v>0.68148148148148147</v>
      </c>
      <c r="N64" s="1" t="s">
        <v>446</v>
      </c>
      <c r="O64" s="1" t="s">
        <v>34</v>
      </c>
      <c r="P64" s="1" t="s">
        <v>169</v>
      </c>
      <c r="S64" s="1">
        <v>3.5879629629631538E-4</v>
      </c>
      <c r="T64" s="1">
        <v>5.7870370370372015E-4</v>
      </c>
      <c r="U64" s="1">
        <v>1.2037037037037068E-3</v>
      </c>
      <c r="V64" s="1">
        <v>5.9143518518518512E-3</v>
      </c>
      <c r="W64" s="1">
        <v>1.7245370370370106E-3</v>
      </c>
      <c r="X64" s="1">
        <v>1.2233796296296284E-2</v>
      </c>
      <c r="Y64" s="1">
        <v>1.4016203703703711E-2</v>
      </c>
      <c r="Z64" s="1">
        <v>1.6134259259259265E-2</v>
      </c>
    </row>
    <row r="65" spans="1:26" x14ac:dyDescent="0.25">
      <c r="A65">
        <v>3</v>
      </c>
      <c r="B65" t="s">
        <v>38</v>
      </c>
      <c r="C65" t="s">
        <v>447</v>
      </c>
      <c r="D65">
        <v>2007</v>
      </c>
      <c r="E65" s="1">
        <v>0.67031249999999998</v>
      </c>
      <c r="F65" s="1">
        <v>0.6706481481481481</v>
      </c>
      <c r="G65" s="1">
        <v>0.6724768518518518</v>
      </c>
      <c r="H65" s="1">
        <v>0.67797453703703703</v>
      </c>
      <c r="I65" s="1">
        <v>0.67402777777777778</v>
      </c>
      <c r="J65" s="1">
        <v>0.68068287037037034</v>
      </c>
      <c r="K65" s="1">
        <v>0.68410879629629628</v>
      </c>
      <c r="L65" s="1">
        <v>0.68464120370370374</v>
      </c>
      <c r="M65" s="1">
        <v>0.6862731481481481</v>
      </c>
      <c r="N65" s="1" t="s">
        <v>352</v>
      </c>
      <c r="O65" s="1" t="s">
        <v>34</v>
      </c>
      <c r="P65" s="1" t="s">
        <v>55</v>
      </c>
      <c r="S65" s="1">
        <v>3.356481481481266E-4</v>
      </c>
      <c r="T65" s="1">
        <v>1.8287037037036935E-3</v>
      </c>
      <c r="U65" s="1">
        <v>1.5509259259259833E-3</v>
      </c>
      <c r="V65" s="1">
        <v>5.4976851851852304E-3</v>
      </c>
      <c r="W65" s="1">
        <v>2.7083333333333126E-3</v>
      </c>
      <c r="X65" s="1">
        <v>1.0081018518518503E-2</v>
      </c>
      <c r="Y65" s="1">
        <v>1.216435185185194E-2</v>
      </c>
      <c r="Z65" s="1">
        <v>1.5960648148148127E-2</v>
      </c>
    </row>
    <row r="66" spans="1:26" x14ac:dyDescent="0.25">
      <c r="A66">
        <v>1</v>
      </c>
      <c r="B66" t="s">
        <v>38</v>
      </c>
      <c r="C66" t="s">
        <v>412</v>
      </c>
      <c r="D66">
        <v>2017</v>
      </c>
      <c r="E66" s="1">
        <v>0.70531250000000001</v>
      </c>
      <c r="F66" s="1">
        <v>0.705474537037037</v>
      </c>
      <c r="G66" s="1">
        <v>0.7065393518518519</v>
      </c>
      <c r="H66" s="1">
        <v>0.70910879629629631</v>
      </c>
      <c r="I66" s="1">
        <v>0.70817129629629627</v>
      </c>
      <c r="J66" s="1">
        <v>0.7123032407407407</v>
      </c>
      <c r="K66" s="1">
        <v>0.71476851851851853</v>
      </c>
      <c r="L66" s="1">
        <v>0.71534722222222225</v>
      </c>
      <c r="M66" s="1">
        <v>0.71619212962962964</v>
      </c>
      <c r="N66" s="1" t="s">
        <v>450</v>
      </c>
      <c r="O66" s="1" t="s">
        <v>34</v>
      </c>
      <c r="P66" s="1" t="s">
        <v>55</v>
      </c>
      <c r="S66" s="1">
        <v>1.6203703703698835E-4</v>
      </c>
      <c r="T66" s="1">
        <v>1.0648148148149073E-3</v>
      </c>
      <c r="U66" s="1">
        <v>1.6319444444443665E-3</v>
      </c>
      <c r="V66" s="1">
        <v>2.569444444444402E-3</v>
      </c>
      <c r="W66" s="1">
        <v>3.1944444444443887E-3</v>
      </c>
      <c r="X66" s="1">
        <v>6.5972222222222543E-3</v>
      </c>
      <c r="Y66" s="1">
        <v>8.8078703703703409E-3</v>
      </c>
      <c r="Z66" s="1">
        <v>1.0879629629629628E-2</v>
      </c>
    </row>
    <row r="67" spans="1:26" x14ac:dyDescent="0.25">
      <c r="A67">
        <v>1</v>
      </c>
      <c r="B67" t="s">
        <v>322</v>
      </c>
      <c r="C67" t="s">
        <v>454</v>
      </c>
      <c r="D67">
        <v>2003</v>
      </c>
      <c r="E67" s="1">
        <v>0.75190972222222219</v>
      </c>
      <c r="F67" s="1">
        <v>0.75209490740740736</v>
      </c>
      <c r="G67" s="1">
        <v>0.75363425925925931</v>
      </c>
      <c r="H67" s="1">
        <v>0.75628472222222221</v>
      </c>
      <c r="I67" s="1">
        <v>0.75468749999999996</v>
      </c>
      <c r="J67" s="1">
        <v>0.75714120370370375</v>
      </c>
      <c r="K67" s="1">
        <v>0.76202546296296292</v>
      </c>
      <c r="L67" s="1">
        <v>0.76228009259259255</v>
      </c>
      <c r="M67" s="1">
        <v>0.76515046296296296</v>
      </c>
      <c r="N67" s="1" t="s">
        <v>54</v>
      </c>
      <c r="O67" s="1" t="s">
        <v>34</v>
      </c>
      <c r="P67" s="1" t="s">
        <v>55</v>
      </c>
      <c r="S67" s="1">
        <v>1.8518518518517713E-4</v>
      </c>
      <c r="T67" s="1">
        <v>1.5393518518519445E-3</v>
      </c>
      <c r="U67" s="1">
        <v>1.0532407407406463E-3</v>
      </c>
      <c r="V67" s="1">
        <v>2.6504629629628962E-3</v>
      </c>
      <c r="W67" s="1">
        <v>8.5648148148154135E-4</v>
      </c>
      <c r="X67" s="1">
        <v>7.3379629629629628E-3</v>
      </c>
      <c r="Y67" s="1">
        <v>8.6458333333332416E-3</v>
      </c>
      <c r="Z67" s="1">
        <v>1.3240740740740775E-2</v>
      </c>
    </row>
    <row r="68" spans="1:26" x14ac:dyDescent="0.25">
      <c r="A68">
        <v>2</v>
      </c>
      <c r="B68" t="s">
        <v>38</v>
      </c>
      <c r="C68" t="s">
        <v>455</v>
      </c>
      <c r="D68">
        <v>2021</v>
      </c>
      <c r="E68" s="1">
        <v>0.75312500000000004</v>
      </c>
      <c r="F68" s="1">
        <v>0.75327546296296299</v>
      </c>
      <c r="G68" s="1">
        <v>0.75511574074074073</v>
      </c>
      <c r="H68" s="1">
        <v>0.75688657407407411</v>
      </c>
      <c r="I68" s="1">
        <v>0.75581018518518517</v>
      </c>
      <c r="J68" s="1">
        <v>0.75944444444444448</v>
      </c>
      <c r="K68" s="1">
        <v>0.76337962962962957</v>
      </c>
      <c r="L68" s="1">
        <v>0.76437500000000003</v>
      </c>
      <c r="M68" s="1">
        <v>0.766087962962963</v>
      </c>
      <c r="N68" s="1" t="s">
        <v>54</v>
      </c>
      <c r="O68" s="1" t="s">
        <v>34</v>
      </c>
      <c r="P68" s="1" t="s">
        <v>55</v>
      </c>
      <c r="S68" s="1">
        <v>1.5046296296294948E-4</v>
      </c>
      <c r="T68" s="1">
        <v>1.8402777777777324E-3</v>
      </c>
      <c r="U68" s="1">
        <v>6.9444444444444198E-4</v>
      </c>
      <c r="V68" s="1">
        <v>1.7708333333333881E-3</v>
      </c>
      <c r="W68" s="1">
        <v>2.5578703703703631E-3</v>
      </c>
      <c r="X68" s="1">
        <v>7.5694444444444065E-3</v>
      </c>
      <c r="Y68" s="1">
        <v>9.2592592592593004E-3</v>
      </c>
      <c r="Z68" s="1">
        <v>1.2962962962962954E-2</v>
      </c>
    </row>
    <row r="69" spans="1:26" x14ac:dyDescent="0.25">
      <c r="A69">
        <v>2</v>
      </c>
      <c r="B69" t="s">
        <v>406</v>
      </c>
      <c r="C69" t="s">
        <v>457</v>
      </c>
      <c r="D69">
        <v>2017</v>
      </c>
      <c r="E69" s="1">
        <v>0.41369212962962965</v>
      </c>
      <c r="F69" s="1">
        <v>0.41388888888888886</v>
      </c>
      <c r="G69" s="1">
        <v>0.41465277777777776</v>
      </c>
      <c r="H69" s="1">
        <v>0.41706018518518517</v>
      </c>
      <c r="I69" s="1">
        <v>0.41550925925925924</v>
      </c>
      <c r="J69" s="1">
        <v>0.41834490740740743</v>
      </c>
      <c r="K69" s="1">
        <v>0.42170138888888886</v>
      </c>
      <c r="L69" s="1">
        <v>0.42298611111111112</v>
      </c>
      <c r="M69" s="1">
        <v>0.42181712962962964</v>
      </c>
      <c r="N69" s="1" t="s">
        <v>458</v>
      </c>
      <c r="O69" s="1" t="s">
        <v>34</v>
      </c>
      <c r="P69" s="1" t="s">
        <v>55</v>
      </c>
      <c r="S69" s="1">
        <v>1.96759259259216E-4</v>
      </c>
      <c r="T69" s="1">
        <v>7.6388888888889728E-4</v>
      </c>
      <c r="U69" s="1">
        <v>8.5648148148148584E-4</v>
      </c>
      <c r="V69" s="1">
        <v>2.4074074074074137E-3</v>
      </c>
      <c r="W69" s="1">
        <v>1.2847222222222565E-3</v>
      </c>
      <c r="X69" s="1">
        <v>6.1921296296296169E-3</v>
      </c>
      <c r="Y69" s="1">
        <v>8.3333333333333592E-3</v>
      </c>
      <c r="Z69" s="1">
        <v>8.1249999999999933E-3</v>
      </c>
    </row>
    <row r="70" spans="1:26" x14ac:dyDescent="0.25">
      <c r="A70">
        <v>1</v>
      </c>
      <c r="B70" t="s">
        <v>393</v>
      </c>
      <c r="C70" t="s">
        <v>353</v>
      </c>
      <c r="D70">
        <v>2014</v>
      </c>
      <c r="E70" s="1">
        <v>0.42466435185185186</v>
      </c>
      <c r="F70" s="1">
        <v>0.42481481481481481</v>
      </c>
      <c r="G70" s="1">
        <v>0.42563657407407407</v>
      </c>
      <c r="H70" s="1">
        <v>0.42748842592592595</v>
      </c>
      <c r="I70" s="1">
        <v>0.42662037037037037</v>
      </c>
      <c r="J70" s="1">
        <v>0.42936342592592591</v>
      </c>
      <c r="K70" s="1">
        <v>0.43253472222222222</v>
      </c>
      <c r="L70" s="1">
        <v>0.43290509259259258</v>
      </c>
      <c r="M70" s="1">
        <v>0.43377314814814816</v>
      </c>
      <c r="N70" s="1" t="s">
        <v>333</v>
      </c>
      <c r="O70" s="1" t="s">
        <v>34</v>
      </c>
      <c r="P70" s="1" t="s">
        <v>55</v>
      </c>
      <c r="S70" s="1">
        <v>1.5046296296294948E-4</v>
      </c>
      <c r="T70" s="1">
        <v>8.2175925925925819E-4</v>
      </c>
      <c r="U70" s="1">
        <v>9.8379629629630205E-4</v>
      </c>
      <c r="V70" s="1">
        <v>1.8518518518518823E-3</v>
      </c>
      <c r="W70" s="1">
        <v>1.87499999999996E-3</v>
      </c>
      <c r="X70" s="1">
        <v>5.9143518518518512E-3</v>
      </c>
      <c r="Y70" s="1">
        <v>7.2685185185185075E-3</v>
      </c>
      <c r="Z70" s="1">
        <v>9.1087962962962954E-3</v>
      </c>
    </row>
    <row r="71" spans="1:26" x14ac:dyDescent="0.25">
      <c r="A71">
        <v>1</v>
      </c>
      <c r="B71" t="s">
        <v>12</v>
      </c>
      <c r="C71" t="s">
        <v>445</v>
      </c>
      <c r="D71">
        <v>2013</v>
      </c>
      <c r="E71" s="1">
        <v>0.51796296296296296</v>
      </c>
      <c r="F71" s="1">
        <v>0.5181365740740741</v>
      </c>
      <c r="G71" s="1">
        <v>0.51974537037037039</v>
      </c>
      <c r="H71" s="1">
        <v>0.52271990740740737</v>
      </c>
      <c r="I71" s="1">
        <v>0.52060185185185182</v>
      </c>
      <c r="J71" s="1">
        <v>0.52431712962962962</v>
      </c>
      <c r="K71" s="1">
        <v>0.52819444444444441</v>
      </c>
      <c r="L71" s="1">
        <v>0.52938657407407408</v>
      </c>
      <c r="M71" s="1">
        <v>0.53019675925925924</v>
      </c>
      <c r="N71" s="1" t="s">
        <v>365</v>
      </c>
      <c r="O71" s="1" t="s">
        <v>34</v>
      </c>
      <c r="P71" s="1" t="s">
        <v>169</v>
      </c>
      <c r="S71" s="1">
        <v>1.7361111111113825E-4</v>
      </c>
      <c r="T71" s="1">
        <v>1.6087962962962887E-3</v>
      </c>
      <c r="U71" s="1">
        <v>8.5648148148143033E-4</v>
      </c>
      <c r="V71" s="1">
        <v>2.9745370370369839E-3</v>
      </c>
      <c r="W71" s="1">
        <v>1.5972222222222499E-3</v>
      </c>
      <c r="X71" s="1">
        <v>7.5925925925925952E-3</v>
      </c>
      <c r="Y71" s="1">
        <v>9.6412037037036935E-3</v>
      </c>
      <c r="Z71" s="1">
        <v>1.2233796296296284E-2</v>
      </c>
    </row>
    <row r="72" spans="1:26" x14ac:dyDescent="0.25">
      <c r="A72">
        <v>2</v>
      </c>
      <c r="B72" t="s">
        <v>8</v>
      </c>
      <c r="C72" t="s">
        <v>385</v>
      </c>
      <c r="D72">
        <v>2020</v>
      </c>
      <c r="E72" s="1">
        <v>0.53275462962962961</v>
      </c>
      <c r="F72" s="1">
        <v>0.53290509259259256</v>
      </c>
      <c r="G72" s="1">
        <v>0.53435185185185186</v>
      </c>
      <c r="H72" s="1">
        <v>0.53751157407407413</v>
      </c>
      <c r="I72" s="1">
        <v>0.53585648148148146</v>
      </c>
      <c r="J72" s="1">
        <v>0.5392824074074074</v>
      </c>
      <c r="K72" s="1">
        <v>0.5481018518518519</v>
      </c>
      <c r="L72" s="1">
        <v>0.55062500000000003</v>
      </c>
      <c r="M72" s="1">
        <v>0.55256944444444445</v>
      </c>
      <c r="N72" s="1" t="s">
        <v>459</v>
      </c>
      <c r="O72" s="1" t="s">
        <v>34</v>
      </c>
      <c r="P72" s="1" t="s">
        <v>55</v>
      </c>
      <c r="S72" s="1">
        <v>1.5046296296294948E-4</v>
      </c>
      <c r="T72" s="1">
        <v>1.4467592592593004E-3</v>
      </c>
      <c r="U72" s="1">
        <v>1.5046296296296058E-3</v>
      </c>
      <c r="V72" s="1">
        <v>3.1597222222222721E-3</v>
      </c>
      <c r="W72" s="1">
        <v>1.7708333333332771E-3</v>
      </c>
      <c r="X72" s="1">
        <v>1.2245370370370434E-2</v>
      </c>
      <c r="Y72" s="1">
        <v>1.6273148148148175E-2</v>
      </c>
      <c r="Z72" s="1">
        <v>1.9814814814814841E-2</v>
      </c>
    </row>
    <row r="73" spans="1:26" x14ac:dyDescent="0.25">
      <c r="A73">
        <v>3</v>
      </c>
      <c r="B73" t="s">
        <v>38</v>
      </c>
      <c r="C73" t="s">
        <v>447</v>
      </c>
      <c r="D73">
        <v>2013</v>
      </c>
      <c r="E73" s="1">
        <v>0.53600694444444441</v>
      </c>
      <c r="F73" s="1">
        <v>0.53615740740740736</v>
      </c>
      <c r="G73" s="1">
        <v>0.53792824074074075</v>
      </c>
      <c r="H73" s="1">
        <v>0.5410300925925926</v>
      </c>
      <c r="I73" s="1">
        <v>0.53946759259259258</v>
      </c>
      <c r="J73" s="1">
        <v>0.54508101851851853</v>
      </c>
      <c r="K73" s="1">
        <v>0.55436342592592591</v>
      </c>
      <c r="L73" s="1">
        <v>0.55533564814814818</v>
      </c>
      <c r="M73" s="1">
        <v>0.55770833333333336</v>
      </c>
      <c r="N73" s="1" t="s">
        <v>54</v>
      </c>
      <c r="O73" s="1" t="s">
        <v>34</v>
      </c>
      <c r="P73" s="1" t="s">
        <v>55</v>
      </c>
      <c r="S73" s="1">
        <v>1.5046296296294948E-4</v>
      </c>
      <c r="T73" s="1">
        <v>1.7708333333333881E-3</v>
      </c>
      <c r="U73" s="1">
        <v>1.5393518518518334E-3</v>
      </c>
      <c r="V73" s="1">
        <v>3.1018518518518556E-3</v>
      </c>
      <c r="W73" s="1">
        <v>4.05092592592593E-3</v>
      </c>
      <c r="X73" s="1">
        <v>1.489583333333333E-2</v>
      </c>
      <c r="Y73" s="1">
        <v>1.7407407407407427E-2</v>
      </c>
      <c r="Z73" s="1">
        <v>2.1701388888888951E-2</v>
      </c>
    </row>
    <row r="74" spans="1:26" x14ac:dyDescent="0.25">
      <c r="A74">
        <v>4</v>
      </c>
      <c r="B74" t="s">
        <v>374</v>
      </c>
      <c r="C74" t="s">
        <v>460</v>
      </c>
      <c r="D74">
        <v>2015</v>
      </c>
      <c r="E74" s="1">
        <v>0.541412037037037</v>
      </c>
      <c r="F74" s="1">
        <v>0.54159722222222217</v>
      </c>
      <c r="G74" s="1">
        <v>0.54233796296296299</v>
      </c>
      <c r="H74" s="1">
        <v>0.54689814814814819</v>
      </c>
      <c r="I74" s="1">
        <v>0.54348379629629628</v>
      </c>
      <c r="J74" s="1">
        <v>0.54689814814814819</v>
      </c>
      <c r="K74" s="1">
        <v>0.55589120370370371</v>
      </c>
      <c r="L74" s="1">
        <v>0.57148148148148148</v>
      </c>
      <c r="M74" s="1">
        <v>0.59429398148148149</v>
      </c>
      <c r="N74" s="1" t="s">
        <v>461</v>
      </c>
      <c r="O74" s="1" t="s">
        <v>34</v>
      </c>
      <c r="P74" s="1" t="s">
        <v>55</v>
      </c>
      <c r="S74" s="1">
        <v>1.8518518518517713E-4</v>
      </c>
      <c r="T74" s="1">
        <v>7.4074074074081953E-4</v>
      </c>
      <c r="U74" s="1">
        <v>1.1458333333332904E-3</v>
      </c>
      <c r="V74" s="1">
        <v>4.5601851851851949E-3</v>
      </c>
      <c r="W74" s="1">
        <v>0</v>
      </c>
      <c r="X74" s="1">
        <v>1.2407407407407423E-2</v>
      </c>
      <c r="Y74" s="1">
        <v>2.9143518518518485E-2</v>
      </c>
      <c r="Z74" s="1">
        <v>5.2881944444444495E-2</v>
      </c>
    </row>
    <row r="75" spans="1:26" x14ac:dyDescent="0.25">
      <c r="A75">
        <v>3</v>
      </c>
      <c r="B75" t="s">
        <v>440</v>
      </c>
      <c r="C75" t="s">
        <v>463</v>
      </c>
      <c r="D75">
        <v>2018</v>
      </c>
      <c r="E75" s="1">
        <v>0.57417824074074075</v>
      </c>
      <c r="F75" s="1">
        <v>0.57434027777777774</v>
      </c>
      <c r="G75" s="1">
        <v>0.57562500000000005</v>
      </c>
      <c r="H75" s="1">
        <v>0.57751157407407405</v>
      </c>
      <c r="I75" s="1">
        <v>0.57609953703703709</v>
      </c>
      <c r="J75" s="1">
        <v>0.58010416666666664</v>
      </c>
      <c r="K75" s="1">
        <v>0.58190972222222226</v>
      </c>
      <c r="L75" s="1">
        <v>0.58225694444444442</v>
      </c>
      <c r="M75" s="1">
        <v>0.58851851851851855</v>
      </c>
      <c r="N75" s="1" t="s">
        <v>464</v>
      </c>
      <c r="O75" s="1" t="s">
        <v>34</v>
      </c>
      <c r="P75" s="1" t="s">
        <v>180</v>
      </c>
      <c r="S75" s="1">
        <v>1.6203703703698835E-4</v>
      </c>
      <c r="T75" s="1">
        <v>1.284722222222312E-3</v>
      </c>
      <c r="U75" s="1">
        <v>4.745370370370372E-4</v>
      </c>
      <c r="V75" s="1">
        <v>1.8865740740739989E-3</v>
      </c>
      <c r="W75" s="1">
        <v>2.5925925925925908E-3</v>
      </c>
      <c r="X75" s="1">
        <v>5.8101851851851682E-3</v>
      </c>
      <c r="Y75" s="1">
        <v>6.6319444444443709E-3</v>
      </c>
      <c r="Z75" s="1">
        <v>1.4340277777777799E-2</v>
      </c>
    </row>
    <row r="76" spans="1:26" x14ac:dyDescent="0.25">
      <c r="A76">
        <v>2</v>
      </c>
      <c r="B76" t="s">
        <v>322</v>
      </c>
      <c r="C76" t="s">
        <v>405</v>
      </c>
      <c r="D76">
        <v>2015</v>
      </c>
      <c r="E76" s="1">
        <v>0.60537037037037034</v>
      </c>
      <c r="F76" s="1">
        <v>0.60563657407407412</v>
      </c>
      <c r="G76" s="1">
        <v>0.60677083333333337</v>
      </c>
      <c r="H76" s="1">
        <v>0.60944444444444446</v>
      </c>
      <c r="I76" s="1">
        <v>0.60751157407407408</v>
      </c>
      <c r="J76" s="1">
        <v>0.61109953703703701</v>
      </c>
      <c r="K76" s="1">
        <v>0.61527777777777781</v>
      </c>
      <c r="L76" s="1">
        <v>0.61611111111111116</v>
      </c>
      <c r="M76" s="1">
        <v>0.62015046296296295</v>
      </c>
      <c r="N76" s="1" t="s">
        <v>54</v>
      </c>
      <c r="O76" s="1" t="s">
        <v>34</v>
      </c>
      <c r="P76" s="1" t="s">
        <v>55</v>
      </c>
      <c r="S76" s="1">
        <v>2.6620370370378232E-4</v>
      </c>
      <c r="T76" s="1">
        <v>1.1342592592592515E-3</v>
      </c>
      <c r="U76" s="1">
        <v>7.407407407407085E-4</v>
      </c>
      <c r="V76" s="1">
        <v>2.673611111111085E-3</v>
      </c>
      <c r="W76" s="1">
        <v>1.6550925925925553E-3</v>
      </c>
      <c r="X76" s="1">
        <v>7.7662037037037335E-3</v>
      </c>
      <c r="Y76" s="1">
        <v>9.3402777777777946E-3</v>
      </c>
      <c r="Z76" s="1">
        <v>1.4780092592592609E-2</v>
      </c>
    </row>
    <row r="77" spans="1:26" x14ac:dyDescent="0.25">
      <c r="A77">
        <v>1</v>
      </c>
      <c r="B77" t="s">
        <v>440</v>
      </c>
      <c r="C77" t="s">
        <v>441</v>
      </c>
      <c r="D77">
        <v>2016</v>
      </c>
      <c r="E77" s="1">
        <v>0.61967592592592591</v>
      </c>
      <c r="F77" s="1">
        <v>0.61997685185185181</v>
      </c>
      <c r="G77" s="1">
        <v>0.62435185185185182</v>
      </c>
      <c r="H77" s="1">
        <v>0.63127314814814817</v>
      </c>
      <c r="I77" s="1">
        <v>0.62556712962962968</v>
      </c>
      <c r="J77" s="1">
        <v>0.63392361111111106</v>
      </c>
      <c r="K77" s="1">
        <v>0.64847222222222223</v>
      </c>
      <c r="L77" s="1">
        <v>0.64875000000000005</v>
      </c>
      <c r="M77" s="1">
        <v>0.65298611111111116</v>
      </c>
      <c r="N77" s="1" t="s">
        <v>468</v>
      </c>
      <c r="O77" s="1" t="s">
        <v>34</v>
      </c>
      <c r="P77" s="1" t="s">
        <v>180</v>
      </c>
      <c r="S77" s="1">
        <v>3.0092592592589895E-4</v>
      </c>
      <c r="T77" s="1">
        <v>4.3750000000000178E-3</v>
      </c>
      <c r="U77" s="1">
        <v>1.2152777777778567E-3</v>
      </c>
      <c r="V77" s="1">
        <v>6.921296296296342E-3</v>
      </c>
      <c r="W77" s="1">
        <v>2.6504629629628962E-3</v>
      </c>
      <c r="X77" s="1">
        <v>2.2905092592592546E-2</v>
      </c>
      <c r="Y77" s="1">
        <v>2.4398148148148224E-2</v>
      </c>
      <c r="Z77" s="1">
        <v>3.3310185185185248E-2</v>
      </c>
    </row>
    <row r="78" spans="1:26" x14ac:dyDescent="0.25">
      <c r="A78">
        <v>4</v>
      </c>
      <c r="B78" t="s">
        <v>469</v>
      </c>
      <c r="C78" t="s">
        <v>388</v>
      </c>
      <c r="D78">
        <v>2019</v>
      </c>
      <c r="E78" s="1">
        <v>0.61971064814814814</v>
      </c>
      <c r="F78" s="1">
        <v>0.62048611111111107</v>
      </c>
      <c r="G78" s="1">
        <v>0.63166666666666671</v>
      </c>
      <c r="H78" s="1">
        <v>0.64087962962962963</v>
      </c>
      <c r="I78" s="1">
        <v>0.63261574074074078</v>
      </c>
      <c r="J78" s="1">
        <v>0.64425925925925931</v>
      </c>
      <c r="K78" s="1">
        <v>0.64790509259259255</v>
      </c>
      <c r="L78" s="1">
        <v>0.65135416666666668</v>
      </c>
      <c r="M78" s="1">
        <v>0.65202546296296293</v>
      </c>
      <c r="N78" s="1" t="s">
        <v>470</v>
      </c>
      <c r="O78" s="1" t="s">
        <v>34</v>
      </c>
      <c r="P78" s="1" t="s">
        <v>379</v>
      </c>
      <c r="S78" s="1">
        <v>7.7546296296293615E-4</v>
      </c>
      <c r="T78" s="1">
        <v>1.1180555555555638E-2</v>
      </c>
      <c r="U78" s="1">
        <v>9.490740740740744E-4</v>
      </c>
      <c r="V78" s="1">
        <v>9.2129629629629228E-3</v>
      </c>
      <c r="W78" s="1">
        <v>3.3796296296296768E-3</v>
      </c>
      <c r="X78" s="1">
        <v>1.5289351851851762E-2</v>
      </c>
      <c r="Y78" s="1">
        <v>1.9687499999999969E-2</v>
      </c>
      <c r="Z78" s="1">
        <v>3.2314814814814796E-2</v>
      </c>
    </row>
    <row r="79" spans="1:26" x14ac:dyDescent="0.25">
      <c r="A79">
        <v>2</v>
      </c>
      <c r="B79" t="s">
        <v>38</v>
      </c>
      <c r="C79" t="s">
        <v>419</v>
      </c>
      <c r="D79">
        <v>2016</v>
      </c>
      <c r="E79" s="1">
        <v>0.66107638888888887</v>
      </c>
      <c r="F79" s="1">
        <v>0.66126157407407404</v>
      </c>
      <c r="G79" s="1">
        <v>0.66204861111111113</v>
      </c>
      <c r="H79" s="1">
        <v>0.66440972222222228</v>
      </c>
      <c r="I79" s="1">
        <v>0.6629976851851852</v>
      </c>
      <c r="J79" s="1">
        <v>0.66569444444444448</v>
      </c>
      <c r="K79" s="1">
        <v>0.66974537037037041</v>
      </c>
      <c r="L79" s="1">
        <v>0.67231481481481481</v>
      </c>
      <c r="M79" s="1">
        <v>0.67318287037037039</v>
      </c>
      <c r="N79" s="1" t="s">
        <v>54</v>
      </c>
      <c r="O79" s="1" t="s">
        <v>34</v>
      </c>
      <c r="P79" s="1" t="s">
        <v>55</v>
      </c>
      <c r="S79" s="1">
        <v>1.8518518518517713E-4</v>
      </c>
      <c r="T79" s="1">
        <v>7.8703703703708605E-4</v>
      </c>
      <c r="U79" s="1">
        <v>9.490740740740744E-4</v>
      </c>
      <c r="V79" s="1">
        <v>2.3611111111111471E-3</v>
      </c>
      <c r="W79" s="1">
        <v>1.284722222222201E-3</v>
      </c>
      <c r="X79" s="1">
        <v>6.7476851851852038E-3</v>
      </c>
      <c r="Y79" s="1">
        <v>1.026620370370368E-2</v>
      </c>
      <c r="Z79" s="1">
        <v>1.2106481481481524E-2</v>
      </c>
    </row>
    <row r="80" spans="1:26" x14ac:dyDescent="0.25">
      <c r="A80">
        <v>1</v>
      </c>
      <c r="B80" t="s">
        <v>393</v>
      </c>
      <c r="C80" t="s">
        <v>471</v>
      </c>
      <c r="D80">
        <v>2019</v>
      </c>
      <c r="E80" s="1">
        <v>0.67898148148148152</v>
      </c>
      <c r="F80" s="1">
        <v>0.67923611111111115</v>
      </c>
      <c r="G80" s="1">
        <v>0.68009259259259258</v>
      </c>
      <c r="H80" s="1">
        <v>0.68230324074074078</v>
      </c>
      <c r="I80" s="1">
        <v>0.68093749999999997</v>
      </c>
      <c r="J80" s="1">
        <v>0.68230324074074078</v>
      </c>
      <c r="K80" s="1">
        <v>0.68662037037037038</v>
      </c>
      <c r="L80" s="1">
        <v>0.68837962962962962</v>
      </c>
      <c r="M80" s="1">
        <v>0.7053935185185185</v>
      </c>
      <c r="N80" s="1" t="s">
        <v>472</v>
      </c>
      <c r="O80" s="1" t="s">
        <v>34</v>
      </c>
      <c r="P80" s="1" t="s">
        <v>55</v>
      </c>
      <c r="S80" s="1">
        <v>2.5462962962963243E-4</v>
      </c>
      <c r="T80" s="1">
        <v>8.5648148148143033E-4</v>
      </c>
      <c r="U80" s="1">
        <v>8.4490740740739145E-4</v>
      </c>
      <c r="V80" s="1">
        <v>2.2106481481481977E-3</v>
      </c>
      <c r="W80" s="1">
        <v>0</v>
      </c>
      <c r="X80" s="1">
        <v>5.6828703703704075E-3</v>
      </c>
      <c r="Y80" s="1">
        <v>8.2870370370370372E-3</v>
      </c>
      <c r="Z80" s="1">
        <v>2.6412037037036984E-2</v>
      </c>
    </row>
    <row r="81" spans="1:26" x14ac:dyDescent="0.25">
      <c r="A81">
        <v>3</v>
      </c>
      <c r="B81" t="s">
        <v>250</v>
      </c>
      <c r="C81" t="s">
        <v>271</v>
      </c>
      <c r="D81">
        <v>2014</v>
      </c>
      <c r="E81" s="1">
        <v>0.44677083333333334</v>
      </c>
      <c r="F81" s="1">
        <v>0.44699074074074074</v>
      </c>
      <c r="G81" s="1">
        <v>0.44806712962962963</v>
      </c>
      <c r="H81" s="1">
        <v>0.45165509259259257</v>
      </c>
      <c r="I81" s="1">
        <v>0.44990740740740742</v>
      </c>
      <c r="J81" s="1">
        <v>0.4533564814814815</v>
      </c>
      <c r="K81" s="1">
        <v>0.46046296296296296</v>
      </c>
      <c r="L81" s="1">
        <v>0.46148148148148149</v>
      </c>
      <c r="M81" s="1">
        <v>0.46276620370370369</v>
      </c>
      <c r="N81" s="1" t="s">
        <v>343</v>
      </c>
      <c r="O81" s="1" t="s">
        <v>34</v>
      </c>
      <c r="P81" s="1" t="s">
        <v>55</v>
      </c>
      <c r="S81" s="1">
        <v>2.1990740740740478E-4</v>
      </c>
      <c r="T81" s="1">
        <v>1.0763888888888906E-3</v>
      </c>
      <c r="U81" s="1">
        <v>1.8402777777777879E-3</v>
      </c>
      <c r="V81" s="1">
        <v>3.5879629629629317E-3</v>
      </c>
      <c r="W81" s="1">
        <v>1.7013888888889328E-3</v>
      </c>
      <c r="X81" s="1">
        <v>1.055555555555554E-2</v>
      </c>
      <c r="Y81" s="1">
        <v>1.3414351851851858E-2</v>
      </c>
      <c r="Z81" s="1">
        <v>1.5995370370370354E-2</v>
      </c>
    </row>
    <row r="82" spans="1:26" x14ac:dyDescent="0.25">
      <c r="A82">
        <v>2</v>
      </c>
      <c r="B82" t="s">
        <v>14</v>
      </c>
      <c r="C82" t="s">
        <v>32</v>
      </c>
      <c r="D82">
        <v>2020</v>
      </c>
      <c r="E82" s="1">
        <v>0.47843750000000002</v>
      </c>
      <c r="F82" s="1">
        <v>0.47854166666666664</v>
      </c>
      <c r="G82" s="1">
        <v>0.48615740740740743</v>
      </c>
      <c r="H82" s="1">
        <v>0.48946759259259259</v>
      </c>
      <c r="I82" s="1">
        <v>0.48712962962962963</v>
      </c>
      <c r="J82" s="1">
        <v>0.49184027777777778</v>
      </c>
      <c r="K82" s="1">
        <v>0.49604166666666666</v>
      </c>
      <c r="L82" s="1">
        <v>0.49655092592592592</v>
      </c>
      <c r="M82" s="1">
        <v>0.49739583333333331</v>
      </c>
      <c r="N82" s="1" t="s">
        <v>54</v>
      </c>
      <c r="O82" s="1" t="s">
        <v>34</v>
      </c>
      <c r="P82" s="1" t="s">
        <v>169</v>
      </c>
      <c r="S82" s="1">
        <v>1.0416666666662744E-4</v>
      </c>
      <c r="T82" s="1">
        <v>7.615740740740784E-3</v>
      </c>
      <c r="U82" s="1">
        <v>9.7222222222220767E-4</v>
      </c>
      <c r="V82" s="1">
        <v>3.310185185185166E-3</v>
      </c>
      <c r="W82" s="1">
        <v>2.372685185185186E-3</v>
      </c>
      <c r="X82" s="1">
        <v>8.9120370370370239E-3</v>
      </c>
      <c r="Y82" s="1">
        <v>1.0393518518518496E-2</v>
      </c>
      <c r="Z82" s="1">
        <v>1.8958333333333299E-2</v>
      </c>
    </row>
    <row r="83" spans="1:26" x14ac:dyDescent="0.25">
      <c r="A83">
        <v>4</v>
      </c>
      <c r="B83" t="s">
        <v>444</v>
      </c>
      <c r="C83" t="s">
        <v>481</v>
      </c>
      <c r="D83">
        <v>2025</v>
      </c>
      <c r="E83" s="1">
        <v>0.39371527777777776</v>
      </c>
      <c r="F83" s="1">
        <v>0.39391203703703703</v>
      </c>
      <c r="G83" s="1">
        <v>0.39445601851851853</v>
      </c>
      <c r="H83" s="1">
        <v>0.39604166666666668</v>
      </c>
      <c r="I83" s="1">
        <v>0.39497685185185183</v>
      </c>
      <c r="J83" s="1">
        <v>0.3972222222222222</v>
      </c>
      <c r="K83" s="1">
        <v>0.40085648148148151</v>
      </c>
      <c r="L83" s="1">
        <v>0.40569444444444447</v>
      </c>
      <c r="M83" s="1">
        <v>0.40645833333333331</v>
      </c>
      <c r="N83" s="1" t="s">
        <v>482</v>
      </c>
      <c r="O83" s="1" t="s">
        <v>34</v>
      </c>
      <c r="P83" s="1" t="s">
        <v>169</v>
      </c>
      <c r="S83" s="1">
        <v>1.9675925925927151E-4</v>
      </c>
      <c r="T83" s="1">
        <v>5.439814814814925E-4</v>
      </c>
      <c r="U83" s="1">
        <v>5.2083333333330373E-4</v>
      </c>
      <c r="V83" s="1">
        <v>1.5856481481481555E-3</v>
      </c>
      <c r="W83" s="1">
        <v>1.1805555555555181E-3</v>
      </c>
      <c r="X83" s="1">
        <v>5.8796296296296791E-3</v>
      </c>
      <c r="Y83" s="1">
        <v>1.1238425925925943E-2</v>
      </c>
      <c r="Z83" s="1">
        <v>1.2743055555555549E-2</v>
      </c>
    </row>
    <row r="84" spans="1:26" x14ac:dyDescent="0.25">
      <c r="A84">
        <v>1</v>
      </c>
      <c r="B84" t="s">
        <v>440</v>
      </c>
      <c r="C84" t="s">
        <v>483</v>
      </c>
      <c r="D84">
        <v>2021</v>
      </c>
      <c r="E84" s="1">
        <v>0.40790509259259261</v>
      </c>
      <c r="F84" s="1">
        <v>0.40810185185185183</v>
      </c>
      <c r="G84" s="1">
        <v>0.40909722222222222</v>
      </c>
      <c r="H84" s="1">
        <v>0.41087962962962965</v>
      </c>
      <c r="I84" s="1">
        <v>0.40982638888888889</v>
      </c>
      <c r="J84" s="1">
        <v>0.41493055555555558</v>
      </c>
      <c r="K84" s="1">
        <v>0.41511574074074076</v>
      </c>
      <c r="L84" s="1">
        <v>0.41559027777777779</v>
      </c>
      <c r="M84" s="1">
        <v>0.41672453703703705</v>
      </c>
      <c r="N84" s="1" t="s">
        <v>431</v>
      </c>
      <c r="O84" s="1" t="s">
        <v>34</v>
      </c>
      <c r="P84" s="1" t="s">
        <v>180</v>
      </c>
      <c r="S84" s="1">
        <v>1.96759259259216E-4</v>
      </c>
      <c r="T84" s="1">
        <v>9.9537037037039644E-4</v>
      </c>
      <c r="U84" s="1">
        <v>7.2916666666666963E-4</v>
      </c>
      <c r="V84" s="1">
        <v>1.782407407407427E-3</v>
      </c>
      <c r="W84" s="1">
        <v>4.05092592592593E-3</v>
      </c>
      <c r="X84" s="1">
        <v>5.2893518518518645E-3</v>
      </c>
      <c r="Y84" s="1">
        <v>6.4930555555555713E-3</v>
      </c>
      <c r="Z84" s="1">
        <v>8.8194444444444353E-3</v>
      </c>
    </row>
    <row r="85" spans="1:26" x14ac:dyDescent="0.25">
      <c r="A85">
        <v>2</v>
      </c>
      <c r="B85" t="s">
        <v>8</v>
      </c>
      <c r="C85" t="s">
        <v>239</v>
      </c>
      <c r="D85">
        <v>2016</v>
      </c>
      <c r="E85" s="1">
        <v>0.41241898148148148</v>
      </c>
      <c r="F85" s="1">
        <v>0.41260416666666666</v>
      </c>
      <c r="G85" s="1">
        <v>0.41322916666666665</v>
      </c>
      <c r="H85" s="1">
        <v>0.41591435185185183</v>
      </c>
      <c r="I85" s="1">
        <v>0.41446759259259258</v>
      </c>
      <c r="J85" s="1">
        <v>0.41859953703703706</v>
      </c>
      <c r="K85" s="1">
        <v>0.42162037037037037</v>
      </c>
      <c r="L85" s="1">
        <v>0.42207175925925927</v>
      </c>
      <c r="M85" s="1">
        <v>0.42303240740740738</v>
      </c>
      <c r="N85" s="1" t="s">
        <v>333</v>
      </c>
      <c r="O85" s="1" t="s">
        <v>34</v>
      </c>
      <c r="P85" s="1" t="s">
        <v>55</v>
      </c>
      <c r="S85" s="1">
        <v>1.8518518518517713E-4</v>
      </c>
      <c r="T85" s="1">
        <v>6.2499999999998668E-4</v>
      </c>
      <c r="U85" s="1">
        <v>1.2384259259259345E-3</v>
      </c>
      <c r="V85" s="1">
        <v>2.6851851851851793E-3</v>
      </c>
      <c r="W85" s="1">
        <v>2.6851851851852349E-3</v>
      </c>
      <c r="X85" s="1">
        <v>7.1527777777777857E-3</v>
      </c>
      <c r="Y85" s="1">
        <v>8.8425925925926241E-3</v>
      </c>
      <c r="Z85" s="1">
        <v>1.0613425925925901E-2</v>
      </c>
    </row>
    <row r="86" spans="1:26" x14ac:dyDescent="0.25">
      <c r="A86">
        <v>4</v>
      </c>
      <c r="B86" t="s">
        <v>322</v>
      </c>
      <c r="C86" t="s">
        <v>485</v>
      </c>
      <c r="D86">
        <v>2023</v>
      </c>
      <c r="E86" s="1">
        <v>0.4428125</v>
      </c>
      <c r="F86" s="1">
        <v>0.44293981481481481</v>
      </c>
      <c r="G86" s="1">
        <v>0.44353009259259257</v>
      </c>
      <c r="H86" s="1">
        <v>0.44608796296296294</v>
      </c>
      <c r="I86" s="1">
        <v>0.44460648148148146</v>
      </c>
      <c r="J86" s="1">
        <v>0.44767361111111109</v>
      </c>
      <c r="K86" s="1">
        <v>0.45097222222222222</v>
      </c>
      <c r="L86" s="1">
        <v>0.45484953703703701</v>
      </c>
      <c r="M86" s="1">
        <v>0.45543981481481483</v>
      </c>
      <c r="N86" s="1" t="s">
        <v>486</v>
      </c>
      <c r="O86" s="1" t="s">
        <v>34</v>
      </c>
      <c r="P86" s="1" t="s">
        <v>55</v>
      </c>
      <c r="S86" s="1">
        <v>1.2731481481481621E-4</v>
      </c>
      <c r="T86" s="1">
        <v>5.9027777777775903E-4</v>
      </c>
      <c r="U86" s="1">
        <v>1.0763888888888906E-3</v>
      </c>
      <c r="V86" s="1">
        <v>2.5578703703703631E-3</v>
      </c>
      <c r="W86" s="1">
        <v>1.5856481481481555E-3</v>
      </c>
      <c r="X86" s="1">
        <v>6.3657407407407551E-3</v>
      </c>
      <c r="Y86" s="1">
        <v>1.1319444444444438E-2</v>
      </c>
      <c r="Z86" s="1">
        <v>1.2627314814814827E-2</v>
      </c>
    </row>
    <row r="87" spans="1:26" x14ac:dyDescent="0.25">
      <c r="A87">
        <v>1</v>
      </c>
      <c r="B87" t="s">
        <v>416</v>
      </c>
      <c r="C87" t="s">
        <v>417</v>
      </c>
      <c r="D87">
        <v>2023</v>
      </c>
      <c r="E87" s="1">
        <v>0.45295138888888886</v>
      </c>
      <c r="F87" s="1">
        <v>0.45310185185185187</v>
      </c>
      <c r="G87" s="1">
        <v>0.45553240740740741</v>
      </c>
      <c r="H87" s="1">
        <v>0.45741898148148147</v>
      </c>
      <c r="I87" s="1">
        <v>0.45621527777777776</v>
      </c>
      <c r="J87" s="1">
        <v>0.45968750000000003</v>
      </c>
      <c r="K87" s="1">
        <v>0.4649652777777778</v>
      </c>
      <c r="L87" s="1">
        <v>0.48072916666666665</v>
      </c>
      <c r="M87" s="1">
        <v>0.48172453703703705</v>
      </c>
      <c r="N87" s="1" t="s">
        <v>487</v>
      </c>
      <c r="O87" s="1" t="s">
        <v>34</v>
      </c>
      <c r="P87" s="1" t="s">
        <v>169</v>
      </c>
      <c r="S87" s="1">
        <v>1.5046296296300499E-4</v>
      </c>
      <c r="T87" s="1">
        <v>2.4305555555555469E-3</v>
      </c>
      <c r="U87" s="1">
        <v>6.8287037037034759E-4</v>
      </c>
      <c r="V87" s="1">
        <v>1.8865740740740544E-3</v>
      </c>
      <c r="W87" s="1">
        <v>2.2685185185185586E-3</v>
      </c>
      <c r="X87" s="1">
        <v>8.7500000000000355E-3</v>
      </c>
      <c r="Y87" s="1">
        <v>2.5196759259259238E-2</v>
      </c>
      <c r="Z87" s="1">
        <v>2.8773148148148187E-2</v>
      </c>
    </row>
    <row r="88" spans="1:26" x14ac:dyDescent="0.25">
      <c r="A88">
        <v>2</v>
      </c>
      <c r="B88" t="s">
        <v>416</v>
      </c>
      <c r="C88" t="s">
        <v>417</v>
      </c>
      <c r="D88">
        <v>2014</v>
      </c>
      <c r="E88" s="1">
        <v>0.45744212962962966</v>
      </c>
      <c r="F88" s="1">
        <v>0.45763888888888887</v>
      </c>
      <c r="G88" s="1">
        <v>0.45853009259259259</v>
      </c>
      <c r="H88" s="1">
        <v>0.46151620370370372</v>
      </c>
      <c r="I88" s="1">
        <v>0.45935185185185184</v>
      </c>
      <c r="J88" s="1">
        <v>0.46429398148148149</v>
      </c>
      <c r="K88" s="1">
        <v>0.48078703703703701</v>
      </c>
      <c r="L88" s="1">
        <v>0.48650462962962965</v>
      </c>
      <c r="M88" s="1">
        <v>0.48859953703703701</v>
      </c>
      <c r="N88" s="1" t="s">
        <v>488</v>
      </c>
      <c r="O88" s="1" t="s">
        <v>34</v>
      </c>
      <c r="P88" s="1" t="s">
        <v>169</v>
      </c>
      <c r="S88" s="1">
        <v>1.96759259259216E-4</v>
      </c>
      <c r="T88" s="1">
        <v>8.9120370370371349E-4</v>
      </c>
      <c r="U88" s="1">
        <v>8.2175925925925819E-4</v>
      </c>
      <c r="V88" s="1">
        <v>2.9861111111111338E-3</v>
      </c>
      <c r="W88" s="1">
        <v>2.7777777777777679E-3</v>
      </c>
      <c r="X88" s="1">
        <v>2.1435185185185168E-2</v>
      </c>
      <c r="Y88" s="1">
        <v>2.7974537037037062E-2</v>
      </c>
      <c r="Z88" s="1">
        <v>3.1157407407407356E-2</v>
      </c>
    </row>
    <row r="89" spans="1:26" x14ac:dyDescent="0.25">
      <c r="A89">
        <v>3</v>
      </c>
      <c r="B89" t="s">
        <v>374</v>
      </c>
      <c r="C89" t="s">
        <v>489</v>
      </c>
      <c r="D89">
        <v>2005</v>
      </c>
      <c r="E89" s="1">
        <v>0.4626736111111111</v>
      </c>
      <c r="F89" s="1">
        <v>0.46276620370370369</v>
      </c>
      <c r="G89" s="1">
        <v>0.46398148148148149</v>
      </c>
      <c r="H89" s="1">
        <v>0.47120370370370368</v>
      </c>
      <c r="I89" s="1">
        <v>0.46534722222222225</v>
      </c>
      <c r="J89" s="1">
        <v>0.4745138888888889</v>
      </c>
      <c r="K89" s="1">
        <v>0.4788310185185185</v>
      </c>
      <c r="L89" s="1">
        <v>0.47917824074074072</v>
      </c>
      <c r="M89" s="1">
        <v>0.48020833333333335</v>
      </c>
      <c r="N89" s="1" t="s">
        <v>343</v>
      </c>
      <c r="O89" s="1" t="s">
        <v>34</v>
      </c>
      <c r="P89" s="1" t="s">
        <v>55</v>
      </c>
      <c r="S89" s="1">
        <v>9.2592592592588563E-5</v>
      </c>
      <c r="T89" s="1">
        <v>1.2152777777778012E-3</v>
      </c>
      <c r="U89" s="1">
        <v>1.3657407407407507E-3</v>
      </c>
      <c r="V89" s="1">
        <v>7.2222222222221855E-3</v>
      </c>
      <c r="W89" s="1">
        <v>3.3101851851852215E-3</v>
      </c>
      <c r="X89" s="1">
        <v>1.3483796296296258E-2</v>
      </c>
      <c r="Y89" s="1">
        <v>1.5196759259259229E-2</v>
      </c>
      <c r="Z89" s="1">
        <v>1.7534722222222243E-2</v>
      </c>
    </row>
    <row r="90" spans="1:26" x14ac:dyDescent="0.25">
      <c r="A90">
        <v>4</v>
      </c>
      <c r="B90" t="s">
        <v>393</v>
      </c>
      <c r="C90" t="s">
        <v>239</v>
      </c>
      <c r="D90">
        <v>2025</v>
      </c>
      <c r="E90" s="1">
        <v>0.46273148148148147</v>
      </c>
      <c r="F90" s="1">
        <v>0.46318287037037037</v>
      </c>
      <c r="G90" s="1">
        <v>0.46553240740740742</v>
      </c>
      <c r="H90" s="1">
        <v>0.4754976851851852</v>
      </c>
      <c r="I90" s="1">
        <v>0.46630787037037036</v>
      </c>
      <c r="J90" s="1">
        <v>0.47605324074074074</v>
      </c>
      <c r="K90" s="1">
        <v>0.48113425925925923</v>
      </c>
      <c r="L90" s="1">
        <v>0.48369212962962965</v>
      </c>
      <c r="M90" s="1">
        <v>0.48494212962962963</v>
      </c>
      <c r="N90" s="1" t="s">
        <v>54</v>
      </c>
      <c r="O90" s="1" t="s">
        <v>34</v>
      </c>
      <c r="P90" s="1" t="s">
        <v>55</v>
      </c>
      <c r="S90" s="1">
        <v>4.5138888888890394E-4</v>
      </c>
      <c r="T90" s="1">
        <v>2.3495370370370527E-3</v>
      </c>
      <c r="U90" s="1">
        <v>7.7546296296293615E-4</v>
      </c>
      <c r="V90" s="1">
        <v>9.9652777777777812E-3</v>
      </c>
      <c r="W90" s="1">
        <v>5.5555555555553138E-4</v>
      </c>
      <c r="X90" s="1">
        <v>1.4826388888888875E-2</v>
      </c>
      <c r="Y90" s="1">
        <v>1.815972222222223E-2</v>
      </c>
      <c r="Z90" s="1">
        <v>2.221064814814816E-2</v>
      </c>
    </row>
    <row r="91" spans="1:26" x14ac:dyDescent="0.25">
      <c r="A91">
        <v>3</v>
      </c>
      <c r="B91" t="s">
        <v>393</v>
      </c>
      <c r="C91" t="s">
        <v>385</v>
      </c>
      <c r="D91">
        <v>2019</v>
      </c>
      <c r="E91" s="1">
        <v>0.47266203703703702</v>
      </c>
      <c r="F91" s="1">
        <v>0.47280092592592593</v>
      </c>
      <c r="G91" s="1">
        <v>0.48069444444444442</v>
      </c>
      <c r="H91" s="1">
        <v>0.48472222222222222</v>
      </c>
      <c r="I91" s="1">
        <v>0.48172453703703705</v>
      </c>
      <c r="J91" s="1">
        <v>0.48730324074074072</v>
      </c>
      <c r="K91" s="1">
        <v>0.51105324074074077</v>
      </c>
      <c r="L91" s="1">
        <v>0.51393518518518522</v>
      </c>
      <c r="M91" s="1">
        <v>0.51432870370370365</v>
      </c>
      <c r="N91" s="1" t="s">
        <v>490</v>
      </c>
      <c r="O91" s="1" t="s">
        <v>34</v>
      </c>
      <c r="P91" s="1" t="s">
        <v>55</v>
      </c>
      <c r="S91" s="1">
        <v>1.388888888889106E-4</v>
      </c>
      <c r="T91" s="1">
        <v>7.8935185185184942E-3</v>
      </c>
      <c r="U91" s="1">
        <v>1.0300925925926241E-3</v>
      </c>
      <c r="V91" s="1">
        <v>4.0277777777777968E-3</v>
      </c>
      <c r="W91" s="1">
        <v>2.5810185185184964E-3</v>
      </c>
      <c r="X91" s="1">
        <v>2.9328703703703718E-2</v>
      </c>
      <c r="Y91" s="1">
        <v>3.3240740740740793E-2</v>
      </c>
      <c r="Z91" s="1">
        <v>4.166666666666663E-2</v>
      </c>
    </row>
    <row r="92" spans="1:26" x14ac:dyDescent="0.25">
      <c r="A92">
        <v>2</v>
      </c>
      <c r="B92" t="s">
        <v>380</v>
      </c>
      <c r="C92" t="s">
        <v>494</v>
      </c>
      <c r="D92">
        <v>2026</v>
      </c>
      <c r="E92" s="1">
        <v>0.48813657407407407</v>
      </c>
      <c r="F92" s="1">
        <v>0.48850694444444442</v>
      </c>
      <c r="G92" s="1">
        <v>0.48925925925925928</v>
      </c>
      <c r="H92" s="1">
        <v>0.49844907407407407</v>
      </c>
      <c r="I92" s="1">
        <v>0.49035879629629631</v>
      </c>
      <c r="J92" s="1">
        <v>0.49997685185185187</v>
      </c>
      <c r="K92" s="1">
        <v>0.5053819444444444</v>
      </c>
      <c r="L92" s="1">
        <v>0.50591435185185185</v>
      </c>
      <c r="M92" s="1">
        <v>0.50853009259259263</v>
      </c>
      <c r="N92" s="1" t="s">
        <v>54</v>
      </c>
      <c r="O92" s="1" t="s">
        <v>34</v>
      </c>
      <c r="P92" s="1" t="s">
        <v>55</v>
      </c>
      <c r="S92" s="1">
        <v>3.7037037037035425E-4</v>
      </c>
      <c r="T92" s="1">
        <v>7.523148148148584E-4</v>
      </c>
      <c r="U92" s="1">
        <v>1.0995370370370239E-3</v>
      </c>
      <c r="V92" s="1">
        <v>9.1898148148147896E-3</v>
      </c>
      <c r="W92" s="1">
        <v>1.5277777777777946E-3</v>
      </c>
      <c r="X92" s="1">
        <v>1.5023148148148091E-2</v>
      </c>
      <c r="Y92" s="1">
        <v>1.6655092592592569E-2</v>
      </c>
      <c r="Z92" s="1">
        <v>2.0393518518518561E-2</v>
      </c>
    </row>
    <row r="93" spans="1:26" x14ac:dyDescent="0.25">
      <c r="A93">
        <v>2</v>
      </c>
      <c r="B93" t="s">
        <v>374</v>
      </c>
      <c r="C93" t="s">
        <v>497</v>
      </c>
      <c r="D93">
        <v>2014</v>
      </c>
      <c r="E93" s="1">
        <v>0.50873842592592589</v>
      </c>
      <c r="F93" s="1">
        <v>0.50893518518518521</v>
      </c>
      <c r="G93" s="1">
        <v>0.50927083333333334</v>
      </c>
      <c r="H93" s="1">
        <v>0.51304398148148145</v>
      </c>
      <c r="I93" s="1">
        <v>0.50995370370370374</v>
      </c>
      <c r="J93" s="1">
        <v>0.51589120370370367</v>
      </c>
      <c r="K93" s="1">
        <v>0.51844907407407403</v>
      </c>
      <c r="L93" s="1">
        <v>0.51902777777777775</v>
      </c>
      <c r="M93" s="1">
        <v>0.51995370370370375</v>
      </c>
      <c r="N93" s="1" t="s">
        <v>54</v>
      </c>
      <c r="O93" s="1" t="s">
        <v>34</v>
      </c>
      <c r="P93" s="1" t="s">
        <v>55</v>
      </c>
      <c r="S93" s="1">
        <v>1.9675925925932702E-4</v>
      </c>
      <c r="T93" s="1">
        <v>3.356481481481266E-4</v>
      </c>
      <c r="U93" s="1">
        <v>6.828703703704031E-4</v>
      </c>
      <c r="V93" s="1">
        <v>3.7731481481481088E-3</v>
      </c>
      <c r="W93" s="1">
        <v>2.8472222222222232E-3</v>
      </c>
      <c r="X93" s="1">
        <v>8.4953703703702921E-3</v>
      </c>
      <c r="Y93" s="1">
        <v>9.7569444444444153E-3</v>
      </c>
      <c r="Z93" s="1">
        <v>1.1215277777777866E-2</v>
      </c>
    </row>
    <row r="94" spans="1:26" x14ac:dyDescent="0.25">
      <c r="A94">
        <v>1</v>
      </c>
      <c r="B94" t="s">
        <v>38</v>
      </c>
      <c r="C94" t="s">
        <v>455</v>
      </c>
      <c r="D94">
        <v>2020</v>
      </c>
      <c r="E94" s="1">
        <v>0.5478587962962963</v>
      </c>
      <c r="F94" s="1">
        <v>0.5481018518518519</v>
      </c>
      <c r="G94" s="1">
        <v>0.54859953703703701</v>
      </c>
      <c r="H94" s="1">
        <v>0.55021990740740745</v>
      </c>
      <c r="I94" s="1">
        <v>0.54909722222222224</v>
      </c>
      <c r="J94" s="1">
        <v>0.55140046296296297</v>
      </c>
      <c r="K94" s="1">
        <v>0.55379629629629634</v>
      </c>
      <c r="L94" s="1">
        <v>0.55407407407407405</v>
      </c>
      <c r="M94" s="1">
        <v>0.55474537037037042</v>
      </c>
      <c r="N94" s="1" t="s">
        <v>333</v>
      </c>
      <c r="O94" s="1" t="s">
        <v>34</v>
      </c>
      <c r="P94" s="1" t="s">
        <v>55</v>
      </c>
      <c r="S94" s="1">
        <v>2.4305555555559355E-4</v>
      </c>
      <c r="T94" s="1">
        <v>4.9768518518511495E-4</v>
      </c>
      <c r="U94" s="1">
        <v>4.9768518518522598E-4</v>
      </c>
      <c r="V94" s="1">
        <v>1.6203703703704386E-3</v>
      </c>
      <c r="W94" s="1">
        <v>1.1805555555555181E-3</v>
      </c>
      <c r="X94" s="1">
        <v>4.6990740740741055E-3</v>
      </c>
      <c r="Y94" s="1">
        <v>5.4745370370370416E-3</v>
      </c>
      <c r="Z94" s="1">
        <v>6.8865740740741144E-3</v>
      </c>
    </row>
    <row r="95" spans="1:26" x14ac:dyDescent="0.25">
      <c r="A95">
        <v>1</v>
      </c>
      <c r="B95" t="s">
        <v>374</v>
      </c>
      <c r="C95" t="s">
        <v>497</v>
      </c>
      <c r="D95">
        <v>2016</v>
      </c>
      <c r="E95" s="1">
        <v>0.55834490740740739</v>
      </c>
      <c r="F95" s="1">
        <v>0.55850694444444449</v>
      </c>
      <c r="G95" s="1">
        <v>0.55936342592592592</v>
      </c>
      <c r="H95" s="1">
        <v>0.56216435185185187</v>
      </c>
      <c r="I95" s="1">
        <v>0.56070601851851853</v>
      </c>
      <c r="J95" s="1">
        <v>0.56314814814814818</v>
      </c>
      <c r="K95" s="1">
        <v>0.56534722222222222</v>
      </c>
      <c r="L95" s="1">
        <v>0.56582175925925926</v>
      </c>
      <c r="M95" s="1">
        <v>0.56679398148148152</v>
      </c>
      <c r="N95" s="1" t="s">
        <v>54</v>
      </c>
      <c r="O95" s="1" t="s">
        <v>34</v>
      </c>
      <c r="P95" s="1" t="s">
        <v>55</v>
      </c>
      <c r="S95" s="1">
        <v>1.6203703703709937E-4</v>
      </c>
      <c r="T95" s="1">
        <v>8.5648148148143033E-4</v>
      </c>
      <c r="U95" s="1">
        <v>1.3425925925926174E-3</v>
      </c>
      <c r="V95" s="1">
        <v>2.8009259259259567E-3</v>
      </c>
      <c r="W95" s="1">
        <v>9.8379629629630205E-4</v>
      </c>
      <c r="X95" s="1">
        <v>4.6412037037036891E-3</v>
      </c>
      <c r="Y95" s="1">
        <v>6.4583333333333437E-3</v>
      </c>
      <c r="Z95" s="1">
        <v>8.4490740740741366E-3</v>
      </c>
    </row>
    <row r="96" spans="1:26" x14ac:dyDescent="0.25">
      <c r="A96">
        <v>1</v>
      </c>
      <c r="B96" t="s">
        <v>444</v>
      </c>
      <c r="C96" t="s">
        <v>334</v>
      </c>
      <c r="D96">
        <v>2015</v>
      </c>
      <c r="E96" s="1">
        <v>0.56741898148148151</v>
      </c>
      <c r="F96" s="1">
        <v>0.56759259259259254</v>
      </c>
      <c r="G96" s="1">
        <v>0.56822916666666667</v>
      </c>
      <c r="H96" s="1">
        <v>0.56998842592592591</v>
      </c>
      <c r="I96" s="1">
        <v>0.56874999999999998</v>
      </c>
      <c r="J96" s="1">
        <v>0.5708333333333333</v>
      </c>
      <c r="K96" s="1">
        <v>0.57391203703703708</v>
      </c>
      <c r="L96" s="1">
        <v>0.57459490740740737</v>
      </c>
      <c r="M96" s="1">
        <v>0.58071759259259259</v>
      </c>
      <c r="N96" s="1" t="s">
        <v>54</v>
      </c>
      <c r="O96" s="1" t="s">
        <v>34</v>
      </c>
      <c r="P96" s="1" t="s">
        <v>169</v>
      </c>
      <c r="S96" s="1">
        <v>1.7361111111102723E-4</v>
      </c>
      <c r="T96" s="1">
        <v>6.3657407407413658E-4</v>
      </c>
      <c r="U96" s="1">
        <v>5.2083333333330373E-4</v>
      </c>
      <c r="V96" s="1">
        <v>1.7592592592592382E-3</v>
      </c>
      <c r="W96" s="1">
        <v>8.4490740740739145E-4</v>
      </c>
      <c r="X96" s="1">
        <v>5.1620370370371038E-3</v>
      </c>
      <c r="Y96" s="1">
        <v>6.3657407407406996E-3</v>
      </c>
      <c r="Z96" s="1">
        <v>1.3298611111111081E-2</v>
      </c>
    </row>
    <row r="97" spans="1:26" x14ac:dyDescent="0.25">
      <c r="A97">
        <v>1</v>
      </c>
      <c r="B97" t="s">
        <v>322</v>
      </c>
      <c r="C97" t="s">
        <v>485</v>
      </c>
      <c r="D97">
        <v>2021</v>
      </c>
      <c r="E97" s="1">
        <v>0.57841435185185186</v>
      </c>
      <c r="F97" s="1">
        <v>0.57856481481481481</v>
      </c>
      <c r="G97" s="1">
        <v>0.57942129629629635</v>
      </c>
      <c r="H97" s="1">
        <v>0.58079861111111108</v>
      </c>
      <c r="I97" s="1">
        <v>0.57983796296296297</v>
      </c>
      <c r="J97" s="1">
        <v>0.58223379629629635</v>
      </c>
      <c r="K97" s="1">
        <v>0.58339120370370368</v>
      </c>
      <c r="L97" s="1">
        <v>0.5837268518518518</v>
      </c>
      <c r="M97" s="1">
        <v>0.58393518518518517</v>
      </c>
      <c r="N97" s="1" t="s">
        <v>54</v>
      </c>
      <c r="O97" s="1" t="s">
        <v>34</v>
      </c>
      <c r="P97" s="1" t="s">
        <v>55</v>
      </c>
      <c r="S97" s="1">
        <v>1.5046296296294948E-4</v>
      </c>
      <c r="T97" s="1">
        <v>8.5648148148154135E-4</v>
      </c>
      <c r="U97" s="1">
        <v>4.1666666666662078E-4</v>
      </c>
      <c r="V97" s="1">
        <v>1.3773148148147341E-3</v>
      </c>
      <c r="W97" s="1">
        <v>1.4351851851852615E-3</v>
      </c>
      <c r="X97" s="1">
        <v>3.5532407407407041E-3</v>
      </c>
      <c r="Y97" s="1">
        <v>4.3055555555554514E-3</v>
      </c>
      <c r="Z97" s="1">
        <v>5.5208333333333082E-3</v>
      </c>
    </row>
    <row r="98" spans="1:26" x14ac:dyDescent="0.25">
      <c r="A98">
        <v>1</v>
      </c>
      <c r="B98" t="s">
        <v>416</v>
      </c>
      <c r="C98" t="s">
        <v>436</v>
      </c>
      <c r="D98">
        <v>2024</v>
      </c>
      <c r="E98" s="1">
        <v>0.6045949074074074</v>
      </c>
      <c r="F98" s="1">
        <v>0.6047569444444445</v>
      </c>
      <c r="G98" s="1">
        <v>0.60532407407407407</v>
      </c>
      <c r="H98" s="1">
        <v>0.60724537037037041</v>
      </c>
      <c r="I98" s="1">
        <v>0.60603009259259255</v>
      </c>
      <c r="J98" s="1">
        <v>0.61064814814814816</v>
      </c>
      <c r="K98" s="1">
        <v>0.61702546296296301</v>
      </c>
      <c r="L98" s="1">
        <v>0.61803240740740739</v>
      </c>
      <c r="M98" s="1">
        <v>0.61571759259259262</v>
      </c>
      <c r="N98" s="1" t="s">
        <v>54</v>
      </c>
      <c r="O98" s="1" t="s">
        <v>34</v>
      </c>
      <c r="P98" s="1" t="s">
        <v>169</v>
      </c>
      <c r="S98" s="1">
        <v>1.6203703703709937E-4</v>
      </c>
      <c r="T98" s="1">
        <v>5.6712962962957025E-4</v>
      </c>
      <c r="U98" s="1">
        <v>7.0601851851848085E-4</v>
      </c>
      <c r="V98" s="1">
        <v>1.9212962962963376E-3</v>
      </c>
      <c r="W98" s="1">
        <v>3.4027777777777546E-3</v>
      </c>
      <c r="X98" s="1">
        <v>1.0995370370370461E-2</v>
      </c>
      <c r="Y98" s="1">
        <v>1.2708333333333321E-2</v>
      </c>
      <c r="Z98" s="1">
        <v>1.1122685185185222E-2</v>
      </c>
    </row>
    <row r="99" spans="1:26" x14ac:dyDescent="0.25">
      <c r="A99">
        <v>2</v>
      </c>
      <c r="B99" t="s">
        <v>380</v>
      </c>
      <c r="C99" t="s">
        <v>504</v>
      </c>
      <c r="D99">
        <v>2016</v>
      </c>
      <c r="E99" s="1">
        <v>0.63269675925925928</v>
      </c>
      <c r="F99" s="1">
        <v>0.63290509259259264</v>
      </c>
      <c r="G99" s="1">
        <v>0.63395833333333329</v>
      </c>
      <c r="H99" s="1">
        <v>0.63665509259259256</v>
      </c>
      <c r="I99" s="1">
        <v>0.6346180555555555</v>
      </c>
      <c r="J99" s="1">
        <v>0.63866898148148143</v>
      </c>
      <c r="K99" s="1">
        <v>0.64189814814814816</v>
      </c>
      <c r="L99" s="1">
        <v>0.64331018518518523</v>
      </c>
      <c r="M99" s="1">
        <v>0.64439814814814811</v>
      </c>
      <c r="N99" s="1" t="s">
        <v>54</v>
      </c>
      <c r="O99" s="1" t="s">
        <v>34</v>
      </c>
      <c r="P99" s="1" t="s">
        <v>55</v>
      </c>
      <c r="S99" s="1">
        <v>2.083333333333659E-4</v>
      </c>
      <c r="T99" s="1">
        <v>1.0532407407406463E-3</v>
      </c>
      <c r="U99" s="1">
        <v>6.5972222222221433E-4</v>
      </c>
      <c r="V99" s="1">
        <v>2.6967592592592737E-3</v>
      </c>
      <c r="W99" s="1">
        <v>2.0138888888888706E-3</v>
      </c>
      <c r="X99" s="1">
        <v>7.2800925925926574E-3</v>
      </c>
      <c r="Y99" s="1">
        <v>9.3518518518519445E-3</v>
      </c>
      <c r="Z99" s="1">
        <v>1.1701388888888831E-2</v>
      </c>
    </row>
    <row r="100" spans="1:26" x14ac:dyDescent="0.25">
      <c r="A100">
        <v>4</v>
      </c>
      <c r="B100" t="s">
        <v>505</v>
      </c>
      <c r="C100" t="s">
        <v>339</v>
      </c>
      <c r="D100">
        <v>2018</v>
      </c>
      <c r="E100" s="1">
        <v>0.63809027777777783</v>
      </c>
      <c r="F100" s="1">
        <v>0.63854166666666667</v>
      </c>
      <c r="G100" s="1">
        <v>0.64020833333333338</v>
      </c>
      <c r="H100" s="1">
        <v>0.64489583333333333</v>
      </c>
      <c r="I100" s="1">
        <v>0.64218750000000002</v>
      </c>
      <c r="J100" s="1">
        <v>0.64655092592592589</v>
      </c>
      <c r="K100" s="1">
        <v>0.65126157407407403</v>
      </c>
      <c r="L100" s="1">
        <v>0.65261574074074069</v>
      </c>
      <c r="M100" s="1">
        <v>0.65464120370370371</v>
      </c>
      <c r="N100" s="1" t="s">
        <v>54</v>
      </c>
      <c r="O100" s="1" t="s">
        <v>34</v>
      </c>
      <c r="P100" s="1" t="s">
        <v>169</v>
      </c>
      <c r="S100" s="1">
        <v>4.5138888888884843E-4</v>
      </c>
      <c r="T100" s="1">
        <v>1.6666666666667052E-3</v>
      </c>
      <c r="U100" s="1">
        <v>1.979166666666643E-3</v>
      </c>
      <c r="V100" s="1">
        <v>4.6874999999999556E-3</v>
      </c>
      <c r="W100" s="1">
        <v>1.6550925925925553E-3</v>
      </c>
      <c r="X100" s="1">
        <v>9.0740740740740122E-3</v>
      </c>
      <c r="Y100" s="1">
        <v>1.2407407407407312E-2</v>
      </c>
      <c r="Z100" s="1">
        <v>1.6550925925925886E-2</v>
      </c>
    </row>
    <row r="101" spans="1:26" x14ac:dyDescent="0.25">
      <c r="A101">
        <v>1</v>
      </c>
      <c r="B101" t="s">
        <v>15</v>
      </c>
      <c r="C101" t="s">
        <v>506</v>
      </c>
      <c r="D101">
        <v>2013</v>
      </c>
      <c r="E101" s="1">
        <v>0.6487384259259259</v>
      </c>
      <c r="F101" s="1">
        <v>0.64893518518518523</v>
      </c>
      <c r="G101" s="1">
        <v>0.65083333333333337</v>
      </c>
      <c r="H101" s="1">
        <v>0.65559027777777779</v>
      </c>
      <c r="I101" s="1">
        <v>0.65349537037037042</v>
      </c>
      <c r="J101" s="1">
        <v>0.65708333333333335</v>
      </c>
      <c r="K101" s="1">
        <v>0.66289351851851852</v>
      </c>
      <c r="L101" s="1">
        <v>0.66324074074074069</v>
      </c>
      <c r="M101" s="1">
        <v>0.66519675925925925</v>
      </c>
      <c r="N101" s="1" t="s">
        <v>507</v>
      </c>
      <c r="O101" s="1" t="s">
        <v>34</v>
      </c>
      <c r="P101" s="1" t="s">
        <v>169</v>
      </c>
      <c r="S101" s="1">
        <v>1.9675925925932702E-4</v>
      </c>
      <c r="T101" s="1">
        <v>1.8981481481481488E-3</v>
      </c>
      <c r="U101" s="1">
        <v>2.6620370370370461E-3</v>
      </c>
      <c r="V101" s="1">
        <v>4.7569444444444109E-3</v>
      </c>
      <c r="W101" s="1">
        <v>1.4930555555555669E-3</v>
      </c>
      <c r="X101" s="1">
        <v>9.3981481481481E-3</v>
      </c>
      <c r="Y101" s="1">
        <v>1.2407407407407312E-2</v>
      </c>
      <c r="Z101" s="1">
        <v>1.6458333333333353E-2</v>
      </c>
    </row>
    <row r="102" spans="1:26" x14ac:dyDescent="0.25">
      <c r="A102">
        <v>1</v>
      </c>
      <c r="B102" t="s">
        <v>11</v>
      </c>
      <c r="C102" t="s">
        <v>355</v>
      </c>
      <c r="D102">
        <v>2014</v>
      </c>
      <c r="E102" s="1">
        <v>0.6782407407407407</v>
      </c>
      <c r="F102" s="1">
        <v>0.67847222222222225</v>
      </c>
      <c r="G102" s="1">
        <v>0.68030092592592595</v>
      </c>
      <c r="H102" s="1">
        <v>0.6818981481481482</v>
      </c>
      <c r="I102" s="1">
        <v>0.6810532407407407</v>
      </c>
      <c r="J102" s="1">
        <v>0.68612268518518515</v>
      </c>
      <c r="K102" s="1">
        <v>0.68887731481481485</v>
      </c>
      <c r="L102" s="1">
        <v>0.69077546296296299</v>
      </c>
      <c r="M102" s="1">
        <v>0.69157407407407412</v>
      </c>
      <c r="N102" s="1" t="s">
        <v>384</v>
      </c>
      <c r="O102" s="1" t="s">
        <v>34</v>
      </c>
      <c r="P102" s="1" t="s">
        <v>55</v>
      </c>
      <c r="S102" s="1">
        <v>2.3148148148155467E-4</v>
      </c>
      <c r="T102" s="1">
        <v>1.8287037037036935E-3</v>
      </c>
      <c r="U102" s="1">
        <v>7.5231481481474738E-4</v>
      </c>
      <c r="V102" s="1">
        <v>1.5972222222222499E-3</v>
      </c>
      <c r="W102" s="1">
        <v>4.2245370370369573E-3</v>
      </c>
      <c r="X102" s="1">
        <v>7.8240740740741499E-3</v>
      </c>
      <c r="Y102" s="1">
        <v>1.0474537037037046E-2</v>
      </c>
      <c r="Z102" s="1">
        <v>1.3333333333333419E-2</v>
      </c>
    </row>
    <row r="103" spans="1:26" x14ac:dyDescent="0.25">
      <c r="A103">
        <v>1</v>
      </c>
      <c r="B103" t="s">
        <v>56</v>
      </c>
      <c r="C103" t="s">
        <v>25</v>
      </c>
      <c r="D103">
        <v>2017</v>
      </c>
      <c r="E103" s="1">
        <v>0.72572916666666665</v>
      </c>
      <c r="F103" s="1">
        <v>0.72591435185185182</v>
      </c>
      <c r="G103" s="1">
        <v>0.72652777777777777</v>
      </c>
      <c r="H103" s="1">
        <v>0.72976851851851854</v>
      </c>
      <c r="I103" s="1">
        <v>0.72729166666666667</v>
      </c>
      <c r="J103" s="1">
        <v>0.7324074074074074</v>
      </c>
      <c r="K103" s="1">
        <v>0.73458333333333337</v>
      </c>
      <c r="L103" s="1">
        <v>0.73486111111111108</v>
      </c>
      <c r="M103" s="1">
        <v>0.73643518518518514</v>
      </c>
      <c r="N103" s="1" t="s">
        <v>431</v>
      </c>
      <c r="O103" s="1" t="s">
        <v>34</v>
      </c>
      <c r="P103" s="1" t="s">
        <v>55</v>
      </c>
      <c r="S103" s="1">
        <v>1.8518518518517713E-4</v>
      </c>
      <c r="T103" s="1">
        <v>6.134259259259478E-4</v>
      </c>
      <c r="U103" s="1">
        <v>7.6388888888889728E-4</v>
      </c>
      <c r="V103" s="1">
        <v>3.2407407407407662E-3</v>
      </c>
      <c r="W103" s="1">
        <v>2.6388888888888573E-3</v>
      </c>
      <c r="X103" s="1">
        <v>7.2916666666666963E-3</v>
      </c>
      <c r="Y103" s="1">
        <v>8.3333333333333037E-3</v>
      </c>
      <c r="Z103" s="1">
        <v>1.070601851851849E-2</v>
      </c>
    </row>
    <row r="104" spans="1:26" x14ac:dyDescent="0.25">
      <c r="A104">
        <v>2</v>
      </c>
      <c r="B104" t="s">
        <v>14</v>
      </c>
      <c r="C104" t="s">
        <v>508</v>
      </c>
      <c r="D104">
        <v>2018</v>
      </c>
      <c r="E104" s="1">
        <v>0.727025462962963</v>
      </c>
      <c r="F104" s="1">
        <v>0.72726851851851848</v>
      </c>
      <c r="G104" s="1">
        <v>0.72916666666666663</v>
      </c>
      <c r="H104" s="1">
        <v>0.73403935185185187</v>
      </c>
      <c r="I104" s="1">
        <v>0.73040509259259256</v>
      </c>
      <c r="J104" s="1">
        <v>0.73644675925925929</v>
      </c>
      <c r="K104" s="1">
        <v>0.73788194444444444</v>
      </c>
      <c r="L104" s="1">
        <v>0.74168981481481477</v>
      </c>
      <c r="M104" s="1">
        <v>0.74101851851851852</v>
      </c>
      <c r="N104" s="1" t="s">
        <v>54</v>
      </c>
      <c r="O104" s="1" t="s">
        <v>34</v>
      </c>
      <c r="P104" s="1" t="s">
        <v>169</v>
      </c>
      <c r="S104" s="1">
        <v>2.4305555555548253E-4</v>
      </c>
      <c r="T104" s="1">
        <v>1.8981481481481488E-3</v>
      </c>
      <c r="U104" s="1">
        <v>1.2384259259259345E-3</v>
      </c>
      <c r="V104" s="1">
        <v>4.8726851851852437E-3</v>
      </c>
      <c r="W104" s="1">
        <v>2.4074074074074137E-3</v>
      </c>
      <c r="X104" s="1">
        <v>7.4768518518518734E-3</v>
      </c>
      <c r="Y104" s="1">
        <v>1.2523148148148144E-2</v>
      </c>
      <c r="Z104" s="1">
        <v>1.3993055555555522E-2</v>
      </c>
    </row>
    <row r="105" spans="1:26" x14ac:dyDescent="0.25">
      <c r="A105">
        <v>1</v>
      </c>
      <c r="B105" t="s">
        <v>359</v>
      </c>
      <c r="C105" t="s">
        <v>509</v>
      </c>
      <c r="D105">
        <v>2019</v>
      </c>
      <c r="E105" s="1">
        <v>0.74071759259259262</v>
      </c>
      <c r="F105" s="1">
        <v>0.7409027777777778</v>
      </c>
      <c r="G105" s="1">
        <v>0.74203703703703705</v>
      </c>
      <c r="H105" s="1">
        <v>0.7442361111111111</v>
      </c>
      <c r="I105" s="1">
        <v>0.74258101851851854</v>
      </c>
      <c r="J105" s="1">
        <v>0.74688657407407411</v>
      </c>
      <c r="K105" s="1">
        <v>0.75498842592592597</v>
      </c>
      <c r="L105" s="1">
        <v>0.75539351851851855</v>
      </c>
      <c r="M105" s="1">
        <v>0.75798611111111114</v>
      </c>
      <c r="N105" s="1" t="s">
        <v>54</v>
      </c>
      <c r="O105" s="1" t="s">
        <v>34</v>
      </c>
      <c r="P105" s="1" t="s">
        <v>55</v>
      </c>
      <c r="S105" s="1">
        <v>1.8518518518517713E-4</v>
      </c>
      <c r="T105" s="1">
        <v>1.1342592592592515E-3</v>
      </c>
      <c r="U105" s="1">
        <v>5.439814814814925E-4</v>
      </c>
      <c r="V105" s="1">
        <v>2.1990740740740478E-3</v>
      </c>
      <c r="W105" s="1">
        <v>2.6504629629630072E-3</v>
      </c>
      <c r="X105" s="1">
        <v>1.2407407407407423E-2</v>
      </c>
      <c r="Y105" s="1">
        <v>1.3356481481481497E-2</v>
      </c>
      <c r="Z105" s="1">
        <v>1.7268518518518516E-2</v>
      </c>
    </row>
    <row r="106" spans="1:26" x14ac:dyDescent="0.25">
      <c r="A106">
        <v>3</v>
      </c>
      <c r="B106" t="s">
        <v>250</v>
      </c>
      <c r="C106" t="s">
        <v>271</v>
      </c>
      <c r="D106">
        <v>2020</v>
      </c>
      <c r="E106" s="1">
        <v>0.74630787037037039</v>
      </c>
      <c r="F106" s="1">
        <v>0.74646990740740737</v>
      </c>
      <c r="G106" s="1">
        <v>0.7475694444444444</v>
      </c>
      <c r="H106" s="1">
        <v>0.75186342592592592</v>
      </c>
      <c r="I106" s="1">
        <v>0.74814814814814812</v>
      </c>
      <c r="J106" s="1">
        <v>0.75453703703703701</v>
      </c>
      <c r="K106" s="1">
        <v>0.75709490740740737</v>
      </c>
      <c r="L106" s="1">
        <v>0.7621296296296296</v>
      </c>
      <c r="M106" s="1">
        <v>0.77181712962962967</v>
      </c>
      <c r="N106" s="1" t="s">
        <v>510</v>
      </c>
      <c r="O106" s="1" t="s">
        <v>34</v>
      </c>
      <c r="P106" s="1" t="s">
        <v>55</v>
      </c>
      <c r="S106" s="1">
        <v>1.6203703703698835E-4</v>
      </c>
      <c r="T106" s="1">
        <v>1.0995370370370239E-3</v>
      </c>
      <c r="U106" s="1">
        <v>5.7870370370372015E-4</v>
      </c>
      <c r="V106" s="1">
        <v>4.2939814814815236E-3</v>
      </c>
      <c r="W106" s="1">
        <v>2.673611111111085E-3</v>
      </c>
      <c r="X106" s="1">
        <v>8.9467592592592515E-3</v>
      </c>
      <c r="Y106" s="1">
        <v>1.4560185185185204E-2</v>
      </c>
      <c r="Z106" s="1">
        <v>2.5509259259259287E-2</v>
      </c>
    </row>
    <row r="107" spans="1:26" x14ac:dyDescent="0.25">
      <c r="A107">
        <v>4</v>
      </c>
      <c r="B107" t="s">
        <v>359</v>
      </c>
      <c r="C107" t="s">
        <v>509</v>
      </c>
      <c r="D107">
        <v>2014</v>
      </c>
      <c r="E107" s="1">
        <v>0.76758101851851857</v>
      </c>
      <c r="F107" s="1">
        <v>0.7678935185185185</v>
      </c>
      <c r="G107" s="1">
        <v>0.76884259259259258</v>
      </c>
      <c r="H107" s="1">
        <v>0.77249999999999996</v>
      </c>
      <c r="I107" s="1">
        <v>0.76967592592592593</v>
      </c>
      <c r="J107" s="1">
        <v>0.77591435185185187</v>
      </c>
      <c r="K107" s="1">
        <v>0.77937500000000004</v>
      </c>
      <c r="L107" s="1">
        <v>0.78003472222222225</v>
      </c>
      <c r="M107" s="1">
        <v>0.78077546296296296</v>
      </c>
      <c r="N107" s="1" t="s">
        <v>54</v>
      </c>
      <c r="O107" s="1" t="s">
        <v>34</v>
      </c>
      <c r="P107" s="1" t="s">
        <v>55</v>
      </c>
      <c r="S107" s="1">
        <v>3.1249999999993783E-4</v>
      </c>
      <c r="T107" s="1">
        <v>9.490740740740744E-4</v>
      </c>
      <c r="U107" s="1">
        <v>8.3333333333335258E-4</v>
      </c>
      <c r="V107" s="1">
        <v>3.657407407407387E-3</v>
      </c>
      <c r="W107" s="1">
        <v>3.4143518518519045E-3</v>
      </c>
      <c r="X107" s="1">
        <v>9.6990740740741099E-3</v>
      </c>
      <c r="Y107" s="1">
        <v>1.1192129629629677E-2</v>
      </c>
      <c r="Z107" s="1">
        <v>1.3194444444444398E-2</v>
      </c>
    </row>
    <row r="108" spans="1:26" x14ac:dyDescent="0.25">
      <c r="A108">
        <v>1</v>
      </c>
      <c r="B108" t="s">
        <v>15</v>
      </c>
      <c r="C108" t="s">
        <v>430</v>
      </c>
      <c r="D108">
        <v>2003</v>
      </c>
      <c r="E108" s="1">
        <v>0.43129629629629629</v>
      </c>
      <c r="F108" s="1">
        <v>0.43155092592592592</v>
      </c>
      <c r="G108" s="1">
        <v>0.43281249999999999</v>
      </c>
      <c r="H108" s="1">
        <v>0.43494212962962964</v>
      </c>
      <c r="I108" s="1">
        <v>0.43346064814814816</v>
      </c>
      <c r="J108" s="1">
        <v>0.4357638888888889</v>
      </c>
      <c r="K108" s="1">
        <v>0.43863425925925925</v>
      </c>
      <c r="L108" s="1">
        <v>0.43896990740740743</v>
      </c>
      <c r="M108" s="1">
        <v>0.43958333333333333</v>
      </c>
      <c r="N108" s="1" t="s">
        <v>54</v>
      </c>
      <c r="O108" s="1" t="s">
        <v>34</v>
      </c>
      <c r="P108" s="1" t="s">
        <v>169</v>
      </c>
      <c r="S108" s="1">
        <v>2.5462962962963243E-4</v>
      </c>
      <c r="T108" s="1">
        <v>1.2615740740740677E-3</v>
      </c>
      <c r="U108" s="1">
        <v>6.4814814814817545E-4</v>
      </c>
      <c r="V108" s="1">
        <v>2.129629629629648E-3</v>
      </c>
      <c r="W108" s="1">
        <v>8.2175925925925819E-4</v>
      </c>
      <c r="X108" s="1">
        <v>5.1736111111110872E-3</v>
      </c>
      <c r="Y108" s="1">
        <v>6.1574074074074447E-3</v>
      </c>
      <c r="Z108" s="1">
        <v>8.2870370370370372E-3</v>
      </c>
    </row>
    <row r="109" spans="1:26" x14ac:dyDescent="0.25">
      <c r="A109">
        <v>1</v>
      </c>
      <c r="B109" t="s">
        <v>8</v>
      </c>
      <c r="C109" t="s">
        <v>517</v>
      </c>
      <c r="D109">
        <v>2018</v>
      </c>
      <c r="E109" s="1">
        <v>0.50067129629629625</v>
      </c>
      <c r="F109" s="1">
        <v>0.50084490740740739</v>
      </c>
      <c r="G109" s="1">
        <v>0.50145833333333334</v>
      </c>
      <c r="H109" s="1">
        <v>0.50383101851851853</v>
      </c>
      <c r="I109" s="1">
        <v>0.50202546296296291</v>
      </c>
      <c r="J109" s="1">
        <v>0.50583333333333336</v>
      </c>
      <c r="K109" s="1">
        <v>0.50789351851851849</v>
      </c>
      <c r="L109" s="1">
        <v>0.50864583333333335</v>
      </c>
      <c r="M109" s="1">
        <v>0.51061342592592596</v>
      </c>
      <c r="N109" s="1" t="s">
        <v>518</v>
      </c>
      <c r="O109" s="1" t="s">
        <v>34</v>
      </c>
      <c r="P109" s="1" t="s">
        <v>55</v>
      </c>
      <c r="S109" s="1">
        <v>1.7361111111113825E-4</v>
      </c>
      <c r="T109" s="1">
        <v>6.134259259259478E-4</v>
      </c>
      <c r="U109" s="1">
        <v>5.6712962962957025E-4</v>
      </c>
      <c r="V109" s="1">
        <v>2.372685185185186E-3</v>
      </c>
      <c r="W109" s="1">
        <v>2.0023148148148318E-3</v>
      </c>
      <c r="X109" s="1">
        <v>5.8680555555555847E-3</v>
      </c>
      <c r="Y109" s="1">
        <v>7.1875000000000133E-3</v>
      </c>
      <c r="Z109" s="1">
        <v>9.9421296296297035E-3</v>
      </c>
    </row>
    <row r="110" spans="1:26" x14ac:dyDescent="0.25">
      <c r="A110">
        <v>2</v>
      </c>
      <c r="B110" t="s">
        <v>56</v>
      </c>
      <c r="C110" t="s">
        <v>519</v>
      </c>
      <c r="D110">
        <v>2024</v>
      </c>
      <c r="E110" s="1">
        <v>0.50695601851851857</v>
      </c>
      <c r="F110" s="1">
        <v>0.50711805555555556</v>
      </c>
      <c r="G110" s="1">
        <v>0.50767361111111109</v>
      </c>
      <c r="H110" s="1">
        <v>0.50981481481481483</v>
      </c>
      <c r="I110" s="1">
        <v>0.50831018518518523</v>
      </c>
      <c r="J110" s="1">
        <v>0.5116087962962963</v>
      </c>
      <c r="K110" s="1">
        <v>0.51364583333333336</v>
      </c>
      <c r="L110" s="1">
        <v>0.51648148148148143</v>
      </c>
      <c r="M110" s="1">
        <v>0.51733796296296297</v>
      </c>
      <c r="N110" s="1" t="s">
        <v>333</v>
      </c>
      <c r="O110" s="1" t="s">
        <v>34</v>
      </c>
      <c r="P110" s="1" t="s">
        <v>55</v>
      </c>
      <c r="S110" s="1">
        <v>1.6203703703698835E-4</v>
      </c>
      <c r="T110" s="1">
        <v>5.5555555555553138E-4</v>
      </c>
      <c r="U110" s="1">
        <v>6.3657407407413658E-4</v>
      </c>
      <c r="V110" s="1">
        <v>2.1412037037037424E-3</v>
      </c>
      <c r="W110" s="1">
        <v>1.7939814814814659E-3</v>
      </c>
      <c r="X110" s="1">
        <v>5.335648148148131E-3</v>
      </c>
      <c r="Y110" s="1">
        <v>8.8078703703703409E-3</v>
      </c>
      <c r="Z110" s="1">
        <v>1.0381944444444402E-2</v>
      </c>
    </row>
    <row r="111" spans="1:26" x14ac:dyDescent="0.25">
      <c r="A111">
        <v>1</v>
      </c>
      <c r="B111" t="s">
        <v>440</v>
      </c>
      <c r="C111" t="s">
        <v>441</v>
      </c>
      <c r="D111">
        <v>2023</v>
      </c>
      <c r="E111" s="1">
        <v>0.51771990740740736</v>
      </c>
      <c r="F111" s="1">
        <v>0.51790509259259254</v>
      </c>
      <c r="G111" s="1">
        <v>0.5191203703703704</v>
      </c>
      <c r="H111" s="1">
        <v>0.52174768518518522</v>
      </c>
      <c r="I111" s="1">
        <v>0.51993055555555556</v>
      </c>
      <c r="J111" s="1">
        <v>0.52563657407407405</v>
      </c>
      <c r="K111" s="1">
        <v>0.54972222222222222</v>
      </c>
      <c r="L111" s="1">
        <v>0.55162037037037037</v>
      </c>
      <c r="M111" s="1">
        <v>0.5554513888888889</v>
      </c>
      <c r="N111" s="1" t="s">
        <v>521</v>
      </c>
      <c r="O111" s="1" t="s">
        <v>34</v>
      </c>
      <c r="P111" s="1" t="s">
        <v>180</v>
      </c>
      <c r="S111" s="1">
        <v>1.8518518518517713E-4</v>
      </c>
      <c r="T111" s="1">
        <v>1.2152777777778567E-3</v>
      </c>
      <c r="U111" s="1">
        <v>8.101851851851638E-4</v>
      </c>
      <c r="V111" s="1">
        <v>2.6273148148148184E-3</v>
      </c>
      <c r="W111" s="1">
        <v>3.8888888888888307E-3</v>
      </c>
      <c r="X111" s="1">
        <v>2.9791666666666661E-2</v>
      </c>
      <c r="Y111" s="1">
        <v>3.2499999999999973E-2</v>
      </c>
      <c r="Z111" s="1">
        <v>3.7731481481481532E-2</v>
      </c>
    </row>
    <row r="112" spans="1:26" x14ac:dyDescent="0.25">
      <c r="A112">
        <v>2</v>
      </c>
      <c r="B112" t="s">
        <v>15</v>
      </c>
      <c r="C112" t="s">
        <v>430</v>
      </c>
      <c r="D112">
        <v>2006</v>
      </c>
      <c r="E112" s="1">
        <v>0.51822916666666663</v>
      </c>
      <c r="F112" s="1">
        <v>0.51858796296296295</v>
      </c>
      <c r="G112" s="1">
        <v>0.52069444444444446</v>
      </c>
      <c r="H112" s="1">
        <v>0.52375000000000005</v>
      </c>
      <c r="I112" s="1">
        <v>0.52194444444444443</v>
      </c>
      <c r="J112" s="1">
        <v>0.52563657407407405</v>
      </c>
      <c r="K112" s="1">
        <v>0.5337615740740741</v>
      </c>
      <c r="L112" s="1">
        <v>0.53462962962962968</v>
      </c>
      <c r="M112" s="1">
        <v>0.53775462962962961</v>
      </c>
      <c r="N112" s="1" t="s">
        <v>54</v>
      </c>
      <c r="O112" s="1" t="s">
        <v>34</v>
      </c>
      <c r="P112" s="1" t="s">
        <v>169</v>
      </c>
      <c r="S112" s="1">
        <v>3.5879629629631538E-4</v>
      </c>
      <c r="T112" s="1">
        <v>2.1064814814815147E-3</v>
      </c>
      <c r="U112" s="1">
        <v>1.2499999999999734E-3</v>
      </c>
      <c r="V112" s="1">
        <v>3.0555555555555891E-3</v>
      </c>
      <c r="W112" s="1">
        <v>1.8865740740739989E-3</v>
      </c>
      <c r="X112" s="1">
        <v>1.1817129629629664E-2</v>
      </c>
      <c r="Y112" s="1">
        <v>1.3935185185185217E-2</v>
      </c>
      <c r="Z112" s="1">
        <v>1.9525462962962981E-2</v>
      </c>
    </row>
    <row r="113" spans="1:26" x14ac:dyDescent="0.25">
      <c r="A113">
        <v>2</v>
      </c>
      <c r="B113" t="s">
        <v>8</v>
      </c>
      <c r="C113" t="s">
        <v>523</v>
      </c>
      <c r="D113">
        <v>2011</v>
      </c>
      <c r="E113" s="1">
        <v>0.53096064814814814</v>
      </c>
      <c r="F113" s="1">
        <v>0.53160879629629632</v>
      </c>
      <c r="G113" s="1">
        <v>0.53533564814814816</v>
      </c>
      <c r="H113" s="1">
        <v>0.53986111111111112</v>
      </c>
      <c r="I113" s="1">
        <v>0.53707175925925921</v>
      </c>
      <c r="J113" s="1">
        <v>0.54168981481481482</v>
      </c>
      <c r="K113" s="1">
        <v>0.55315972222222221</v>
      </c>
      <c r="L113" s="1">
        <v>0.55383101851851857</v>
      </c>
      <c r="M113" s="1">
        <v>0.55513888888888885</v>
      </c>
      <c r="N113" s="1" t="s">
        <v>54</v>
      </c>
      <c r="O113" s="1" t="s">
        <v>34</v>
      </c>
      <c r="P113" s="1" t="s">
        <v>55</v>
      </c>
      <c r="S113" s="1">
        <v>6.4814814814817545E-4</v>
      </c>
      <c r="T113" s="1">
        <v>3.7268518518518423E-3</v>
      </c>
      <c r="U113" s="1">
        <v>1.7361111111110494E-3</v>
      </c>
      <c r="V113" s="1">
        <v>4.5254629629629672E-3</v>
      </c>
      <c r="W113" s="1">
        <v>1.8287037037036935E-3</v>
      </c>
      <c r="X113" s="1">
        <v>1.6087962962962998E-2</v>
      </c>
      <c r="Y113" s="1">
        <v>1.8495370370370412E-2</v>
      </c>
      <c r="Z113" s="1">
        <v>2.4178240740740709E-2</v>
      </c>
    </row>
    <row r="114" spans="1:26" x14ac:dyDescent="0.25">
      <c r="A114">
        <v>4</v>
      </c>
      <c r="B114" t="s">
        <v>14</v>
      </c>
      <c r="C114" t="s">
        <v>395</v>
      </c>
      <c r="D114">
        <v>2020</v>
      </c>
      <c r="E114" s="1">
        <v>0.54162037037037036</v>
      </c>
      <c r="F114" s="1">
        <v>0.54182870370370373</v>
      </c>
      <c r="G114" s="1">
        <v>0.54776620370370366</v>
      </c>
      <c r="H114" s="1">
        <v>0.55399305555555556</v>
      </c>
      <c r="I114" s="1">
        <v>0.55000000000000004</v>
      </c>
      <c r="J114" s="1">
        <v>0.55630787037037033</v>
      </c>
      <c r="K114" s="1">
        <v>0.56013888888888885</v>
      </c>
      <c r="L114" s="1">
        <v>0.56157407407407411</v>
      </c>
      <c r="M114" s="1">
        <v>0.56292824074074077</v>
      </c>
      <c r="N114" s="1" t="s">
        <v>343</v>
      </c>
      <c r="O114" s="1" t="s">
        <v>34</v>
      </c>
      <c r="P114" s="1" t="s">
        <v>169</v>
      </c>
      <c r="S114" s="1">
        <v>2.083333333333659E-4</v>
      </c>
      <c r="T114" s="1">
        <v>5.9374999999999289E-3</v>
      </c>
      <c r="U114" s="1">
        <v>2.2337962962963864E-3</v>
      </c>
      <c r="V114" s="1">
        <v>6.2268518518519E-3</v>
      </c>
      <c r="W114" s="1">
        <v>2.3148148148147696E-3</v>
      </c>
      <c r="X114" s="1">
        <v>1.0138888888888808E-2</v>
      </c>
      <c r="Y114" s="1">
        <v>1.3807870370370456E-2</v>
      </c>
      <c r="Z114" s="1">
        <v>2.1307870370370408E-2</v>
      </c>
    </row>
    <row r="115" spans="1:26" x14ac:dyDescent="0.25">
      <c r="A115">
        <v>1</v>
      </c>
      <c r="B115" t="s">
        <v>38</v>
      </c>
      <c r="C115" t="s">
        <v>397</v>
      </c>
      <c r="D115">
        <v>2011</v>
      </c>
      <c r="E115" s="1">
        <v>0.59016203703703707</v>
      </c>
      <c r="F115" s="1">
        <v>0.59040509259259255</v>
      </c>
      <c r="G115" s="1">
        <v>0.59084490740740736</v>
      </c>
      <c r="H115" s="1">
        <v>0.59304398148148152</v>
      </c>
      <c r="I115" s="1">
        <v>0.59188657407407408</v>
      </c>
      <c r="J115" s="1">
        <v>0.59560185185185188</v>
      </c>
      <c r="K115" s="1">
        <v>0.60709490740740746</v>
      </c>
      <c r="L115" s="1">
        <v>0.6074074074074074</v>
      </c>
      <c r="M115" s="1">
        <v>0.6090740740740741</v>
      </c>
      <c r="N115" s="1" t="s">
        <v>526</v>
      </c>
      <c r="O115" s="1" t="s">
        <v>34</v>
      </c>
      <c r="P115" s="1" t="s">
        <v>55</v>
      </c>
      <c r="S115" s="1">
        <v>2.4305555555548253E-4</v>
      </c>
      <c r="T115" s="1">
        <v>4.3981481481480955E-4</v>
      </c>
      <c r="U115" s="1">
        <v>1.0416666666667185E-3</v>
      </c>
      <c r="V115" s="1">
        <v>2.1990740740741588E-3</v>
      </c>
      <c r="W115" s="1">
        <v>2.5578703703703631E-3</v>
      </c>
      <c r="X115" s="1">
        <v>1.5208333333333379E-2</v>
      </c>
      <c r="Y115" s="1">
        <v>1.6562500000000036E-2</v>
      </c>
      <c r="Z115" s="1">
        <v>1.8912037037037033E-2</v>
      </c>
    </row>
    <row r="116" spans="1:26" x14ac:dyDescent="0.25">
      <c r="A116">
        <v>2</v>
      </c>
      <c r="B116" t="s">
        <v>13</v>
      </c>
      <c r="C116" t="s">
        <v>527</v>
      </c>
      <c r="D116">
        <v>2022</v>
      </c>
      <c r="E116" s="1">
        <v>0.5901967592592593</v>
      </c>
      <c r="F116" s="1">
        <v>0.59057870370370369</v>
      </c>
      <c r="G116" s="1">
        <v>0.5913194444444444</v>
      </c>
      <c r="H116" s="1">
        <v>0.5957986111111111</v>
      </c>
      <c r="I116" s="1">
        <v>0.5923032407407407</v>
      </c>
      <c r="J116" s="1">
        <v>0.59996527777777775</v>
      </c>
      <c r="K116" s="1">
        <v>0.60539351851851853</v>
      </c>
      <c r="L116" s="1">
        <v>0.60584490740740737</v>
      </c>
      <c r="M116" s="1">
        <v>0.60811342592592588</v>
      </c>
      <c r="N116" s="1" t="s">
        <v>333</v>
      </c>
      <c r="O116" s="1" t="s">
        <v>34</v>
      </c>
      <c r="P116" s="1" t="s">
        <v>180</v>
      </c>
      <c r="S116" s="1">
        <v>3.8194444444439313E-4</v>
      </c>
      <c r="T116" s="1">
        <v>7.407407407407085E-4</v>
      </c>
      <c r="U116" s="1">
        <v>9.8379629629630205E-4</v>
      </c>
      <c r="V116" s="1">
        <v>4.4791666666667007E-3</v>
      </c>
      <c r="W116" s="1">
        <v>4.1666666666666519E-3</v>
      </c>
      <c r="X116" s="1">
        <v>1.3090277777777826E-2</v>
      </c>
      <c r="Y116" s="1">
        <v>1.4525462962962976E-2</v>
      </c>
      <c r="Z116" s="1">
        <v>1.7916666666666581E-2</v>
      </c>
    </row>
    <row r="117" spans="1:26" x14ac:dyDescent="0.25">
      <c r="A117">
        <v>2</v>
      </c>
      <c r="B117" t="s">
        <v>322</v>
      </c>
      <c r="C117" t="s">
        <v>530</v>
      </c>
      <c r="D117">
        <v>2019</v>
      </c>
      <c r="E117" s="1">
        <v>0.60112268518518519</v>
      </c>
      <c r="F117" s="1">
        <v>0.60136574074074078</v>
      </c>
      <c r="G117" s="1">
        <v>0.60771990740740744</v>
      </c>
      <c r="H117" s="1">
        <v>0.61168981481481477</v>
      </c>
      <c r="I117" s="1">
        <v>0.60837962962962966</v>
      </c>
      <c r="J117" s="1">
        <v>0.61515046296296294</v>
      </c>
      <c r="K117" s="1">
        <v>0.62012731481481487</v>
      </c>
      <c r="L117" s="1">
        <v>0.62076388888888889</v>
      </c>
      <c r="M117" s="1">
        <v>0.62152777777777779</v>
      </c>
      <c r="N117" s="1" t="s">
        <v>343</v>
      </c>
      <c r="O117" s="1" t="s">
        <v>34</v>
      </c>
      <c r="P117" s="1" t="s">
        <v>55</v>
      </c>
      <c r="S117" s="1">
        <v>2.4305555555559355E-4</v>
      </c>
      <c r="T117" s="1">
        <v>6.3541666666666607E-3</v>
      </c>
      <c r="U117" s="1">
        <v>6.5972222222221433E-4</v>
      </c>
      <c r="V117" s="1">
        <v>3.9699074074073248E-3</v>
      </c>
      <c r="W117" s="1">
        <v>3.460648148148171E-3</v>
      </c>
      <c r="X117" s="1">
        <v>1.1747685185185208E-2</v>
      </c>
      <c r="Y117" s="1">
        <v>1.3043981481481448E-2</v>
      </c>
      <c r="Z117" s="1">
        <v>2.04050925925926E-2</v>
      </c>
    </row>
    <row r="118" spans="1:26" x14ac:dyDescent="0.25">
      <c r="A118">
        <v>1</v>
      </c>
      <c r="B118" t="s">
        <v>11</v>
      </c>
      <c r="C118" t="s">
        <v>467</v>
      </c>
      <c r="D118">
        <v>2023</v>
      </c>
      <c r="E118" s="1">
        <v>0.60966435185185186</v>
      </c>
      <c r="F118" s="1">
        <v>0.60982638888888885</v>
      </c>
      <c r="G118" s="1">
        <v>0.61165509259259254</v>
      </c>
      <c r="H118" s="1">
        <v>0.6157407407407407</v>
      </c>
      <c r="I118" s="1">
        <v>0.61371527777777779</v>
      </c>
      <c r="J118" s="1">
        <v>0.61884259259259256</v>
      </c>
      <c r="K118" s="1">
        <v>0.62483796296296301</v>
      </c>
      <c r="L118" s="1">
        <v>0.63177083333333328</v>
      </c>
      <c r="M118" s="1">
        <v>0.63615740740740745</v>
      </c>
      <c r="N118" s="1" t="s">
        <v>291</v>
      </c>
      <c r="O118" s="1" t="s">
        <v>34</v>
      </c>
      <c r="P118" s="1" t="s">
        <v>55</v>
      </c>
      <c r="S118" s="1">
        <v>1.6203703703698835E-4</v>
      </c>
      <c r="T118" s="1">
        <v>1.8287037037036935E-3</v>
      </c>
      <c r="U118" s="1">
        <v>2.0601851851852482E-3</v>
      </c>
      <c r="V118" s="1">
        <v>4.0856481481481577E-3</v>
      </c>
      <c r="W118" s="1">
        <v>3.1018518518518556E-3</v>
      </c>
      <c r="X118" s="1">
        <v>1.1122685185185222E-2</v>
      </c>
      <c r="Y118" s="1">
        <v>2.011574074074074E-2</v>
      </c>
      <c r="Z118" s="1">
        <v>2.6493055555555589E-2</v>
      </c>
    </row>
    <row r="119" spans="1:26" x14ac:dyDescent="0.25">
      <c r="A119">
        <v>1</v>
      </c>
      <c r="B119" t="s">
        <v>38</v>
      </c>
      <c r="C119" t="s">
        <v>536</v>
      </c>
      <c r="D119">
        <v>2008</v>
      </c>
      <c r="E119" s="1">
        <v>0.68542824074074071</v>
      </c>
      <c r="F119" s="1">
        <v>0.68561342592592589</v>
      </c>
      <c r="G119" s="1">
        <v>0.68707175925925923</v>
      </c>
      <c r="H119" s="1">
        <v>0.69060185185185186</v>
      </c>
      <c r="I119" s="1">
        <v>0.6877199074074074</v>
      </c>
      <c r="J119" s="1">
        <v>0.69317129629629626</v>
      </c>
      <c r="K119" s="1">
        <v>0.69608796296296294</v>
      </c>
      <c r="L119" s="1">
        <v>0.69695601851851852</v>
      </c>
      <c r="M119" s="1">
        <v>0.69815972222222222</v>
      </c>
      <c r="N119" s="1" t="s">
        <v>54</v>
      </c>
      <c r="O119" s="1" t="s">
        <v>34</v>
      </c>
      <c r="P119" s="1" t="s">
        <v>55</v>
      </c>
      <c r="S119" s="1">
        <v>1.8518518518517713E-4</v>
      </c>
      <c r="T119" s="1">
        <v>1.4583333333333393E-3</v>
      </c>
      <c r="U119" s="1">
        <v>6.4814814814817545E-4</v>
      </c>
      <c r="V119" s="1">
        <v>3.5300925925926263E-3</v>
      </c>
      <c r="W119" s="1">
        <v>2.569444444444402E-3</v>
      </c>
      <c r="X119" s="1">
        <v>8.3680555555555314E-3</v>
      </c>
      <c r="Y119" s="1">
        <v>9.8842592592592871E-3</v>
      </c>
      <c r="Z119" s="1">
        <v>1.273148148148151E-2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D8BFF-AD04-4D13-B3DA-D5AD3A28F81A}">
  <dimension ref="A1:Z36"/>
  <sheetViews>
    <sheetView workbookViewId="0">
      <selection activeCell="Z2" activeCellId="1" sqref="O2:O36 Z2:Z3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43</v>
      </c>
      <c r="N1" s="1" t="s">
        <v>44</v>
      </c>
      <c r="O1" s="1" t="s">
        <v>45</v>
      </c>
      <c r="P1" s="1" t="s">
        <v>46</v>
      </c>
      <c r="S1" s="1" t="s">
        <v>539</v>
      </c>
      <c r="T1" s="1" t="s">
        <v>540</v>
      </c>
      <c r="U1" s="1" t="s">
        <v>538</v>
      </c>
      <c r="V1" s="1" t="s">
        <v>541</v>
      </c>
      <c r="W1" s="1" t="s">
        <v>544</v>
      </c>
      <c r="X1" s="1" t="s">
        <v>542</v>
      </c>
      <c r="Y1" s="1" t="s">
        <v>545</v>
      </c>
      <c r="Z1" s="1" t="s">
        <v>543</v>
      </c>
    </row>
    <row r="2" spans="1:26" x14ac:dyDescent="0.25">
      <c r="A2">
        <v>1</v>
      </c>
      <c r="B2" t="s">
        <v>76</v>
      </c>
      <c r="C2" t="s">
        <v>19</v>
      </c>
      <c r="D2">
        <v>2020</v>
      </c>
      <c r="E2" s="1">
        <v>0.60671296296296295</v>
      </c>
      <c r="F2" s="1">
        <v>0.60689814814814813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  <c r="L2" s="1" t="s">
        <v>82</v>
      </c>
      <c r="M2" s="1" t="s">
        <v>83</v>
      </c>
      <c r="N2" s="1" t="s">
        <v>84</v>
      </c>
      <c r="O2" s="1" t="s">
        <v>690</v>
      </c>
      <c r="P2" s="1" t="s">
        <v>55</v>
      </c>
      <c r="S2" s="1">
        <v>1.8518518518517713E-4</v>
      </c>
      <c r="T2" s="1">
        <v>1.4583333333333393E-3</v>
      </c>
      <c r="U2" s="1">
        <v>7.2916666666666963E-4</v>
      </c>
      <c r="V2" s="1">
        <v>3.3564814814814881E-3</v>
      </c>
      <c r="W2" s="1">
        <v>3.2754629629629939E-3</v>
      </c>
      <c r="X2" s="1">
        <v>1.6608796296296295E-2</v>
      </c>
      <c r="Y2" s="1">
        <v>3.1354166666666683E-2</v>
      </c>
      <c r="Z2" s="1">
        <v>3.3449074074074048E-2</v>
      </c>
    </row>
    <row r="3" spans="1:26" x14ac:dyDescent="0.25">
      <c r="A3">
        <v>4</v>
      </c>
      <c r="B3" t="s">
        <v>76</v>
      </c>
      <c r="C3" t="s">
        <v>20</v>
      </c>
      <c r="D3">
        <v>2004</v>
      </c>
      <c r="E3" s="1" t="s">
        <v>85</v>
      </c>
      <c r="F3" s="1" t="s">
        <v>86</v>
      </c>
      <c r="G3" s="1" t="s">
        <v>87</v>
      </c>
      <c r="H3" s="1" t="s">
        <v>88</v>
      </c>
      <c r="I3" s="1" t="s">
        <v>89</v>
      </c>
      <c r="J3" s="1" t="s">
        <v>90</v>
      </c>
      <c r="K3" s="1" t="s">
        <v>91</v>
      </c>
      <c r="L3" s="1" t="s">
        <v>92</v>
      </c>
      <c r="M3" s="1" t="s">
        <v>93</v>
      </c>
      <c r="N3" s="1" t="s">
        <v>94</v>
      </c>
      <c r="O3" s="1" t="s">
        <v>690</v>
      </c>
      <c r="P3" s="1" t="s">
        <v>55</v>
      </c>
      <c r="S3" s="1">
        <v>1.6203703703709937E-4</v>
      </c>
      <c r="T3" s="1">
        <v>6.5393518518518379E-3</v>
      </c>
      <c r="U3" s="1">
        <v>1.0995370370370239E-3</v>
      </c>
      <c r="V3" s="1">
        <v>3.0439814814814392E-3</v>
      </c>
      <c r="W3" s="1">
        <v>4.0740740740741188E-3</v>
      </c>
      <c r="X3" s="1">
        <v>3.1574074074074088E-2</v>
      </c>
      <c r="Y3" s="1">
        <v>3.3078703703703694E-2</v>
      </c>
      <c r="Z3" s="1">
        <v>4.2175925925926006E-2</v>
      </c>
    </row>
    <row r="4" spans="1:26" x14ac:dyDescent="0.25">
      <c r="A4">
        <v>3</v>
      </c>
      <c r="B4" t="s">
        <v>76</v>
      </c>
      <c r="C4" t="s">
        <v>21</v>
      </c>
      <c r="D4">
        <v>2011</v>
      </c>
      <c r="E4" s="1" t="s">
        <v>95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54</v>
      </c>
      <c r="O4" s="1" t="s">
        <v>36</v>
      </c>
      <c r="P4" s="1" t="s">
        <v>55</v>
      </c>
      <c r="S4" s="1">
        <v>4.2824074074065965E-4</v>
      </c>
      <c r="T4" s="1">
        <v>1.5000000000000013E-2</v>
      </c>
      <c r="U4" s="1">
        <v>1.4351851851851505E-3</v>
      </c>
      <c r="V4" s="1">
        <v>3.2060185185185386E-3</v>
      </c>
      <c r="W4" s="1">
        <v>3.6226851851851594E-3</v>
      </c>
      <c r="X4" s="1">
        <v>1.1354166666666665E-2</v>
      </c>
      <c r="Y4" s="1">
        <v>1.446759259259256E-2</v>
      </c>
      <c r="Z4" s="1">
        <v>3.0995370370370368E-2</v>
      </c>
    </row>
    <row r="5" spans="1:26" x14ac:dyDescent="0.25">
      <c r="A5">
        <v>2</v>
      </c>
      <c r="B5" t="s">
        <v>10</v>
      </c>
      <c r="C5" t="s">
        <v>124</v>
      </c>
      <c r="D5">
        <v>2002</v>
      </c>
      <c r="E5" s="1" t="s">
        <v>125</v>
      </c>
      <c r="F5" s="1" t="s">
        <v>126</v>
      </c>
      <c r="G5" s="1" t="s">
        <v>127</v>
      </c>
      <c r="H5" s="1" t="s">
        <v>128</v>
      </c>
      <c r="I5" s="1" t="s">
        <v>129</v>
      </c>
      <c r="J5" s="1" t="s">
        <v>130</v>
      </c>
      <c r="K5" s="1" t="s">
        <v>131</v>
      </c>
      <c r="L5" s="1" t="s">
        <v>132</v>
      </c>
      <c r="M5" s="1" t="s">
        <v>133</v>
      </c>
      <c r="N5" s="1" t="s">
        <v>54</v>
      </c>
      <c r="O5" s="1" t="s">
        <v>690</v>
      </c>
      <c r="P5" s="1" t="s">
        <v>55</v>
      </c>
      <c r="S5" s="1">
        <v>2.662037037036713E-4</v>
      </c>
      <c r="T5" s="1">
        <v>9.3865740740740611E-3</v>
      </c>
      <c r="U5" s="1">
        <v>1.2731481481481621E-3</v>
      </c>
      <c r="V5" s="1">
        <v>3.8657407407407529E-3</v>
      </c>
      <c r="W5" s="1">
        <v>1.8518518518518823E-3</v>
      </c>
      <c r="X5" s="1">
        <v>1.9560185185185208E-2</v>
      </c>
      <c r="Y5" s="1">
        <v>2.1412037037036979E-2</v>
      </c>
      <c r="Z5" s="1">
        <v>3.1643518518518432E-2</v>
      </c>
    </row>
    <row r="6" spans="1:26" x14ac:dyDescent="0.25">
      <c r="A6">
        <v>2</v>
      </c>
      <c r="B6" t="s">
        <v>8</v>
      </c>
      <c r="C6" t="s">
        <v>239</v>
      </c>
      <c r="D6">
        <v>2013</v>
      </c>
      <c r="E6" s="1" t="s">
        <v>240</v>
      </c>
      <c r="F6" s="1" t="s">
        <v>241</v>
      </c>
      <c r="G6" s="1" t="s">
        <v>242</v>
      </c>
      <c r="H6" s="1" t="s">
        <v>243</v>
      </c>
      <c r="I6" s="1" t="s">
        <v>244</v>
      </c>
      <c r="J6" s="1" t="s">
        <v>245</v>
      </c>
      <c r="K6" s="1" t="s">
        <v>246</v>
      </c>
      <c r="L6" s="1" t="s">
        <v>247</v>
      </c>
      <c r="M6" s="1" t="s">
        <v>248</v>
      </c>
      <c r="N6" s="1" t="s">
        <v>249</v>
      </c>
      <c r="O6" s="1" t="s">
        <v>36</v>
      </c>
      <c r="P6" s="1" t="s">
        <v>55</v>
      </c>
      <c r="S6" s="1">
        <v>3.356481481481266E-4</v>
      </c>
      <c r="T6" s="1">
        <v>7.7546296296293615E-4</v>
      </c>
      <c r="U6" s="1">
        <v>7.7546296296293615E-4</v>
      </c>
      <c r="V6" s="1">
        <v>2.8587962962962621E-3</v>
      </c>
      <c r="W6" s="1">
        <v>3.5300925925926263E-3</v>
      </c>
      <c r="X6" s="1">
        <v>1.1400462962963043E-2</v>
      </c>
      <c r="Y6" s="1">
        <v>2.0659722222222232E-2</v>
      </c>
      <c r="Z6" s="1">
        <v>2.4247685185185164E-2</v>
      </c>
    </row>
    <row r="7" spans="1:26" x14ac:dyDescent="0.25">
      <c r="A7">
        <v>4</v>
      </c>
      <c r="B7" t="s">
        <v>38</v>
      </c>
      <c r="C7" t="s">
        <v>21</v>
      </c>
      <c r="D7">
        <v>2010</v>
      </c>
      <c r="E7" s="1" t="s">
        <v>303</v>
      </c>
      <c r="F7" s="1" t="s">
        <v>304</v>
      </c>
      <c r="G7" s="1" t="s">
        <v>178</v>
      </c>
      <c r="H7" s="1" t="s">
        <v>305</v>
      </c>
      <c r="I7" s="1" t="s">
        <v>306</v>
      </c>
      <c r="J7" s="1" t="s">
        <v>307</v>
      </c>
      <c r="K7" s="1" t="s">
        <v>308</v>
      </c>
      <c r="L7" s="1" t="s">
        <v>309</v>
      </c>
      <c r="M7" s="1" t="s">
        <v>310</v>
      </c>
      <c r="N7" s="1" t="s">
        <v>54</v>
      </c>
      <c r="O7" s="1" t="s">
        <v>36</v>
      </c>
      <c r="P7" s="1" t="s">
        <v>55</v>
      </c>
      <c r="S7" s="1">
        <v>1.9675925925932702E-4</v>
      </c>
      <c r="T7" s="1">
        <v>7.5231481481474738E-4</v>
      </c>
      <c r="U7" s="1">
        <v>1.0069444444444908E-3</v>
      </c>
      <c r="V7" s="1">
        <v>2.3611111111111471E-3</v>
      </c>
      <c r="W7" s="1">
        <v>3.6458333333333481E-3</v>
      </c>
      <c r="X7" s="1">
        <v>1.0451388888888857E-2</v>
      </c>
      <c r="Y7" s="1">
        <v>1.1666666666666714E-2</v>
      </c>
      <c r="Z7" s="1">
        <v>1.3865740740740762E-2</v>
      </c>
    </row>
    <row r="8" spans="1:26" x14ac:dyDescent="0.25">
      <c r="A8">
        <v>1</v>
      </c>
      <c r="B8" t="s">
        <v>10</v>
      </c>
      <c r="C8" t="s">
        <v>311</v>
      </c>
      <c r="D8">
        <v>2021</v>
      </c>
      <c r="E8" s="1" t="s">
        <v>312</v>
      </c>
      <c r="F8" s="1" t="s">
        <v>313</v>
      </c>
      <c r="G8" s="1" t="s">
        <v>314</v>
      </c>
      <c r="H8" s="1" t="s">
        <v>315</v>
      </c>
      <c r="I8" s="1" t="s">
        <v>316</v>
      </c>
      <c r="J8" s="1" t="s">
        <v>317</v>
      </c>
      <c r="K8" s="1" t="s">
        <v>318</v>
      </c>
      <c r="L8" s="1" t="s">
        <v>319</v>
      </c>
      <c r="M8" s="1" t="s">
        <v>320</v>
      </c>
      <c r="N8" s="1" t="s">
        <v>321</v>
      </c>
      <c r="O8" s="1" t="s">
        <v>36</v>
      </c>
      <c r="P8" s="1" t="s">
        <v>55</v>
      </c>
      <c r="S8" s="1">
        <v>4.166666666667318E-4</v>
      </c>
      <c r="T8" s="1">
        <v>7.8703703703697503E-4</v>
      </c>
      <c r="U8" s="1">
        <v>1.0763888888889461E-3</v>
      </c>
      <c r="V8" s="1">
        <v>3.0208333333333615E-3</v>
      </c>
      <c r="W8" s="1">
        <v>3.1250000000000444E-3</v>
      </c>
      <c r="X8" s="1">
        <v>2.0798611111111032E-2</v>
      </c>
      <c r="Y8" s="1">
        <v>2.2372685185185204E-2</v>
      </c>
      <c r="Z8" s="1">
        <v>2.4606481481481479E-2</v>
      </c>
    </row>
    <row r="9" spans="1:26" x14ac:dyDescent="0.25">
      <c r="A9">
        <v>3</v>
      </c>
      <c r="B9" t="s">
        <v>38</v>
      </c>
      <c r="C9" t="s">
        <v>21</v>
      </c>
      <c r="D9">
        <v>2016</v>
      </c>
      <c r="E9" s="1">
        <v>0.65995370370370365</v>
      </c>
      <c r="F9" s="1">
        <v>0.66024305555555551</v>
      </c>
      <c r="G9" s="1">
        <v>0.66084490740740742</v>
      </c>
      <c r="H9" s="1">
        <v>0.66417824074074072</v>
      </c>
      <c r="I9" s="1">
        <v>0.66219907407407408</v>
      </c>
      <c r="J9" s="1">
        <v>0.66780092592592588</v>
      </c>
      <c r="K9" s="1">
        <v>0.67038194444444443</v>
      </c>
      <c r="L9" s="1">
        <v>0.67594907407407412</v>
      </c>
      <c r="M9" s="1">
        <v>0.67778935185185185</v>
      </c>
      <c r="N9" s="1" t="s">
        <v>336</v>
      </c>
      <c r="O9" s="1" t="s">
        <v>36</v>
      </c>
      <c r="P9" s="1" t="s">
        <v>55</v>
      </c>
      <c r="S9" s="1">
        <v>2.8935185185186008E-4</v>
      </c>
      <c r="T9" s="1">
        <v>6.0185185185190893E-4</v>
      </c>
      <c r="U9" s="1">
        <v>1.3541666666666563E-3</v>
      </c>
      <c r="V9" s="1">
        <v>3.3333333333332993E-3</v>
      </c>
      <c r="W9" s="1">
        <v>3.6226851851851594E-3</v>
      </c>
      <c r="X9" s="1">
        <v>8.1828703703703543E-3</v>
      </c>
      <c r="Y9" s="1">
        <v>1.5104166666666696E-2</v>
      </c>
      <c r="Z9" s="1">
        <v>1.7835648148148198E-2</v>
      </c>
    </row>
    <row r="10" spans="1:26" x14ac:dyDescent="0.25">
      <c r="A10">
        <v>3</v>
      </c>
      <c r="B10" t="s">
        <v>322</v>
      </c>
      <c r="C10" t="s">
        <v>351</v>
      </c>
      <c r="D10">
        <v>2011</v>
      </c>
      <c r="E10" s="1">
        <v>0.74894675925925924</v>
      </c>
      <c r="F10" s="1">
        <v>0.74930555555555556</v>
      </c>
      <c r="G10" s="1">
        <v>0.75143518518518515</v>
      </c>
      <c r="H10" s="1">
        <v>0.75885416666666672</v>
      </c>
      <c r="I10" s="1">
        <v>0.7530324074074074</v>
      </c>
      <c r="J10" s="1">
        <v>0.76060185185185181</v>
      </c>
      <c r="K10" s="1">
        <v>0.76575231481481476</v>
      </c>
      <c r="L10" s="1">
        <v>0.76828703703703705</v>
      </c>
      <c r="M10" s="1">
        <v>0.76979166666666665</v>
      </c>
      <c r="N10" s="1" t="s">
        <v>352</v>
      </c>
      <c r="O10" s="1" t="s">
        <v>36</v>
      </c>
      <c r="P10" s="1" t="s">
        <v>55</v>
      </c>
      <c r="S10" s="1">
        <v>3.5879629629631538E-4</v>
      </c>
      <c r="T10" s="1">
        <v>2.1296296296295925E-3</v>
      </c>
      <c r="U10" s="1">
        <v>1.5972222222222499E-3</v>
      </c>
      <c r="V10" s="1">
        <v>7.418981481481568E-3</v>
      </c>
      <c r="W10" s="1">
        <v>1.7476851851850883E-3</v>
      </c>
      <c r="X10" s="1">
        <v>1.271990740740736E-2</v>
      </c>
      <c r="Y10" s="1">
        <v>1.6851851851851896E-2</v>
      </c>
      <c r="Z10" s="1">
        <v>2.0844907407407409E-2</v>
      </c>
    </row>
    <row r="11" spans="1:26" x14ac:dyDescent="0.25">
      <c r="A11">
        <v>2</v>
      </c>
      <c r="B11" t="s">
        <v>8</v>
      </c>
      <c r="C11" t="s">
        <v>366</v>
      </c>
      <c r="D11">
        <v>2003</v>
      </c>
      <c r="E11" s="1">
        <v>0.61386574074074074</v>
      </c>
      <c r="F11" s="1">
        <v>0.61423611111111109</v>
      </c>
      <c r="G11" s="1">
        <v>0.62112268518518521</v>
      </c>
      <c r="H11" s="1">
        <v>0.62445601851851851</v>
      </c>
      <c r="I11" s="1">
        <v>0.62199074074074079</v>
      </c>
      <c r="J11" s="1">
        <v>0.62604166666666672</v>
      </c>
      <c r="K11" s="1">
        <v>0.62848379629629625</v>
      </c>
      <c r="L11" s="1">
        <v>0.62864583333333335</v>
      </c>
      <c r="M11" s="1">
        <v>0.62928240740740737</v>
      </c>
      <c r="N11" s="1" t="s">
        <v>343</v>
      </c>
      <c r="O11" s="1" t="s">
        <v>36</v>
      </c>
      <c r="P11" s="1" t="s">
        <v>55</v>
      </c>
      <c r="S11" s="1">
        <v>3.7037037037035425E-4</v>
      </c>
      <c r="T11" s="1">
        <v>6.8865740740741144E-3</v>
      </c>
      <c r="U11" s="1">
        <v>8.6805555555558023E-4</v>
      </c>
      <c r="V11" s="1">
        <v>3.3333333333332993E-3</v>
      </c>
      <c r="W11" s="1">
        <v>1.585648148148211E-3</v>
      </c>
      <c r="X11" s="1">
        <v>6.4930555555554603E-3</v>
      </c>
      <c r="Y11" s="1">
        <v>7.5231481481481399E-3</v>
      </c>
      <c r="Z11" s="1">
        <v>1.5416666666666634E-2</v>
      </c>
    </row>
    <row r="12" spans="1:26" x14ac:dyDescent="0.25">
      <c r="A12">
        <v>4</v>
      </c>
      <c r="B12" t="s">
        <v>372</v>
      </c>
      <c r="C12" t="s">
        <v>373</v>
      </c>
      <c r="D12">
        <v>2008</v>
      </c>
      <c r="E12" s="1">
        <v>0.50414351851851846</v>
      </c>
      <c r="F12" s="1">
        <v>0.5055439814814815</v>
      </c>
      <c r="G12" s="1">
        <v>0.50677083333333328</v>
      </c>
      <c r="H12" s="1">
        <v>0.51108796296296299</v>
      </c>
      <c r="I12" s="1">
        <v>0.50815972222222228</v>
      </c>
      <c r="J12" s="1">
        <v>0.51261574074074079</v>
      </c>
      <c r="K12" s="1">
        <v>0.52175925925925926</v>
      </c>
      <c r="L12" s="1">
        <v>0.52396990740740745</v>
      </c>
      <c r="M12" s="1">
        <v>0.52509259259259256</v>
      </c>
      <c r="N12" s="1" t="s">
        <v>343</v>
      </c>
      <c r="O12" s="1" t="s">
        <v>36</v>
      </c>
      <c r="P12" s="1" t="s">
        <v>55</v>
      </c>
      <c r="S12" s="1">
        <v>1.4004629629630339E-3</v>
      </c>
      <c r="T12" s="1">
        <v>1.2268518518517846E-3</v>
      </c>
      <c r="U12" s="1">
        <v>1.388888888888995E-3</v>
      </c>
      <c r="V12" s="1">
        <v>4.3171296296297124E-3</v>
      </c>
      <c r="W12" s="1">
        <v>1.5277777777777946E-3</v>
      </c>
      <c r="X12" s="1">
        <v>1.3599537037036979E-2</v>
      </c>
      <c r="Y12" s="1">
        <v>1.7199074074074172E-2</v>
      </c>
      <c r="Z12" s="1">
        <v>2.0949074074074092E-2</v>
      </c>
    </row>
    <row r="13" spans="1:26" x14ac:dyDescent="0.25">
      <c r="A13">
        <v>2</v>
      </c>
      <c r="B13" t="s">
        <v>8</v>
      </c>
      <c r="C13" t="s">
        <v>383</v>
      </c>
      <c r="D13">
        <v>2015</v>
      </c>
      <c r="E13" s="1">
        <v>0.56087962962962967</v>
      </c>
      <c r="F13" s="1">
        <v>0.5610532407407407</v>
      </c>
      <c r="G13" s="1">
        <v>0.56163194444444442</v>
      </c>
      <c r="H13" s="1">
        <v>0.56678240740740737</v>
      </c>
      <c r="I13" s="1">
        <v>0.56270833333333337</v>
      </c>
      <c r="J13" s="1">
        <v>0.56806712962962957</v>
      </c>
      <c r="K13" s="1">
        <v>0.57074074074074077</v>
      </c>
      <c r="L13" s="1">
        <v>0.57101851851851848</v>
      </c>
      <c r="M13" s="1">
        <v>0.57239583333333333</v>
      </c>
      <c r="N13" s="1" t="s">
        <v>384</v>
      </c>
      <c r="O13" s="1" t="s">
        <v>36</v>
      </c>
      <c r="P13" s="1" t="s">
        <v>55</v>
      </c>
      <c r="S13" s="1">
        <v>1.7361111111102723E-4</v>
      </c>
      <c r="T13" s="1">
        <v>5.7870370370372015E-4</v>
      </c>
      <c r="U13" s="1">
        <v>1.0763888888889461E-3</v>
      </c>
      <c r="V13" s="1">
        <v>5.1504629629629539E-3</v>
      </c>
      <c r="W13" s="1">
        <v>1.284722222222201E-3</v>
      </c>
      <c r="X13" s="1">
        <v>8.0324074074074048E-3</v>
      </c>
      <c r="Y13" s="1">
        <v>9.3865740740740611E-3</v>
      </c>
      <c r="Z13" s="1">
        <v>1.1516203703703654E-2</v>
      </c>
    </row>
    <row r="14" spans="1:26" x14ac:dyDescent="0.25">
      <c r="A14">
        <v>3</v>
      </c>
      <c r="B14" t="s">
        <v>393</v>
      </c>
      <c r="C14" t="s">
        <v>239</v>
      </c>
      <c r="D14">
        <v>2018</v>
      </c>
      <c r="E14" s="1">
        <v>0.61627314814814815</v>
      </c>
      <c r="F14" s="1">
        <v>0.61644675925925929</v>
      </c>
      <c r="G14" s="1">
        <v>0.61763888888888885</v>
      </c>
      <c r="H14" s="1">
        <v>0.62171296296296297</v>
      </c>
      <c r="I14" s="1">
        <v>0.61962962962962964</v>
      </c>
      <c r="J14" s="1">
        <v>0.62315972222222227</v>
      </c>
      <c r="K14" s="1">
        <v>0.62746527777777783</v>
      </c>
      <c r="L14" s="1">
        <v>0.6281944444444445</v>
      </c>
      <c r="M14" s="1">
        <v>0.6285532407407407</v>
      </c>
      <c r="N14" s="1" t="s">
        <v>333</v>
      </c>
      <c r="O14" s="1" t="s">
        <v>36</v>
      </c>
      <c r="P14" s="1" t="s">
        <v>55</v>
      </c>
      <c r="S14" s="1">
        <v>1.7361111111113825E-4</v>
      </c>
      <c r="T14" s="1">
        <v>1.1921296296295569E-3</v>
      </c>
      <c r="U14" s="1">
        <v>1.9907407407407929E-3</v>
      </c>
      <c r="V14" s="1">
        <v>4.0740740740741188E-3</v>
      </c>
      <c r="W14" s="1">
        <v>1.4467592592593004E-3</v>
      </c>
      <c r="X14" s="1">
        <v>7.8356481481481888E-3</v>
      </c>
      <c r="Y14" s="1">
        <v>1.0555555555555651E-2</v>
      </c>
      <c r="Z14" s="1">
        <v>1.2280092592592551E-2</v>
      </c>
    </row>
    <row r="15" spans="1:26" x14ac:dyDescent="0.25">
      <c r="A15">
        <v>2</v>
      </c>
      <c r="B15" t="s">
        <v>372</v>
      </c>
      <c r="C15" t="s">
        <v>373</v>
      </c>
      <c r="D15">
        <v>2015</v>
      </c>
      <c r="E15" s="1">
        <v>0.49847222222222221</v>
      </c>
      <c r="F15" s="1">
        <v>0.49866898148148148</v>
      </c>
      <c r="G15" s="1">
        <v>0.4992361111111111</v>
      </c>
      <c r="H15" s="1">
        <v>0.50112268518518521</v>
      </c>
      <c r="I15" s="1">
        <v>0.49986111111111109</v>
      </c>
      <c r="J15" s="1">
        <v>0.50311342592592589</v>
      </c>
      <c r="K15" s="1">
        <v>0.52159722222222227</v>
      </c>
      <c r="L15" s="1">
        <v>0.52231481481481479</v>
      </c>
      <c r="M15" s="1">
        <v>0.52298611111111115</v>
      </c>
      <c r="N15" s="1" t="s">
        <v>423</v>
      </c>
      <c r="O15" s="1" t="s">
        <v>36</v>
      </c>
      <c r="P15" s="1" t="s">
        <v>55</v>
      </c>
      <c r="S15" s="1">
        <v>1.9675925925927151E-4</v>
      </c>
      <c r="T15" s="1">
        <v>5.6712962962962576E-4</v>
      </c>
      <c r="U15" s="1">
        <v>6.2499999999998668E-4</v>
      </c>
      <c r="V15" s="1">
        <v>1.8865740740741099E-3</v>
      </c>
      <c r="W15" s="1">
        <v>1.9907407407406819E-3</v>
      </c>
      <c r="X15" s="1">
        <v>2.1736111111111178E-2</v>
      </c>
      <c r="Y15" s="1">
        <v>2.3078703703703685E-2</v>
      </c>
      <c r="Z15" s="1">
        <v>2.4513888888888946E-2</v>
      </c>
    </row>
    <row r="16" spans="1:26" x14ac:dyDescent="0.25">
      <c r="A16">
        <v>4</v>
      </c>
      <c r="B16" t="s">
        <v>12</v>
      </c>
      <c r="C16" t="s">
        <v>424</v>
      </c>
      <c r="D16">
        <v>2017</v>
      </c>
      <c r="E16" s="1">
        <v>0.53568287037037032</v>
      </c>
      <c r="F16" s="1">
        <v>0.53576388888888893</v>
      </c>
      <c r="G16" s="1">
        <v>0.53651620370370368</v>
      </c>
      <c r="H16" s="1">
        <v>0.53872685185185187</v>
      </c>
      <c r="I16" s="1">
        <v>0.53770833333333334</v>
      </c>
      <c r="J16" s="1">
        <v>0.54129629629629628</v>
      </c>
      <c r="K16" s="1">
        <v>0.55969907407407404</v>
      </c>
      <c r="L16" s="1">
        <v>0.56065972222222227</v>
      </c>
      <c r="M16" s="1">
        <v>0.56129629629629629</v>
      </c>
      <c r="N16" s="1" t="s">
        <v>425</v>
      </c>
      <c r="O16" s="1" t="s">
        <v>36</v>
      </c>
      <c r="P16" s="1" t="s">
        <v>169</v>
      </c>
      <c r="S16" s="1">
        <v>8.1018518518605198E-5</v>
      </c>
      <c r="T16" s="1">
        <v>7.5231481481474738E-4</v>
      </c>
      <c r="U16" s="1">
        <v>1.192129629629668E-3</v>
      </c>
      <c r="V16" s="1">
        <v>2.2106481481481977E-3</v>
      </c>
      <c r="W16" s="1">
        <v>2.569444444444402E-3</v>
      </c>
      <c r="X16" s="1">
        <v>2.19907407407407E-2</v>
      </c>
      <c r="Y16" s="1">
        <v>2.4143518518518592E-2</v>
      </c>
      <c r="Z16" s="1">
        <v>2.561342592592597E-2</v>
      </c>
    </row>
    <row r="17" spans="1:26" x14ac:dyDescent="0.25">
      <c r="A17">
        <v>2</v>
      </c>
      <c r="B17" t="s">
        <v>38</v>
      </c>
      <c r="C17" t="s">
        <v>21</v>
      </c>
      <c r="D17">
        <v>2016</v>
      </c>
      <c r="E17" s="1">
        <v>0.55157407407407411</v>
      </c>
      <c r="F17" s="1">
        <v>0.55173611111111109</v>
      </c>
      <c r="G17" s="1">
        <v>0.55287037037037035</v>
      </c>
      <c r="H17" s="1">
        <v>0.55630787037037033</v>
      </c>
      <c r="I17" s="1">
        <v>0.55376157407407411</v>
      </c>
      <c r="J17" s="1">
        <v>0.5574189814814815</v>
      </c>
      <c r="K17" s="1">
        <v>0.56114583333333334</v>
      </c>
      <c r="L17" s="1">
        <v>0.56201388888888892</v>
      </c>
      <c r="M17" s="1">
        <v>0.57059027777777782</v>
      </c>
      <c r="N17" s="1" t="s">
        <v>427</v>
      </c>
      <c r="O17" s="1" t="s">
        <v>36</v>
      </c>
      <c r="P17" s="1" t="s">
        <v>55</v>
      </c>
      <c r="S17" s="1">
        <v>1.6203703703698835E-4</v>
      </c>
      <c r="T17" s="1">
        <v>1.1342592592592515E-3</v>
      </c>
      <c r="U17" s="1">
        <v>8.91203703703769E-4</v>
      </c>
      <c r="V17" s="1">
        <v>3.4374999999999822E-3</v>
      </c>
      <c r="W17" s="1">
        <v>1.1111111111111738E-3</v>
      </c>
      <c r="X17" s="1">
        <v>7.3842592592592293E-3</v>
      </c>
      <c r="Y17" s="1">
        <v>9.1435185185185786E-3</v>
      </c>
      <c r="Z17" s="1">
        <v>1.9016203703703716E-2</v>
      </c>
    </row>
    <row r="18" spans="1:26" x14ac:dyDescent="0.25">
      <c r="A18">
        <v>2</v>
      </c>
      <c r="B18" t="s">
        <v>322</v>
      </c>
      <c r="C18" t="s">
        <v>437</v>
      </c>
      <c r="D18">
        <v>2023</v>
      </c>
      <c r="E18" s="1">
        <v>0.63275462962962958</v>
      </c>
      <c r="F18" s="1">
        <v>0.633275462962963</v>
      </c>
      <c r="G18" s="1">
        <v>0.63451388888888893</v>
      </c>
      <c r="H18" s="1">
        <v>0.63710648148148152</v>
      </c>
      <c r="I18" s="1">
        <v>0.635162037037037</v>
      </c>
      <c r="J18" s="1">
        <v>0.63710648148148152</v>
      </c>
      <c r="K18" s="1">
        <v>0.64571759259259254</v>
      </c>
      <c r="L18" s="1">
        <v>0.64628472222222222</v>
      </c>
      <c r="M18" s="1">
        <v>0.65708333333333335</v>
      </c>
      <c r="N18" s="1" t="s">
        <v>438</v>
      </c>
      <c r="O18" s="1" t="s">
        <v>36</v>
      </c>
      <c r="P18" s="1" t="s">
        <v>55</v>
      </c>
      <c r="S18" s="1">
        <v>5.2083333333341475E-4</v>
      </c>
      <c r="T18" s="1">
        <v>1.2384259259259345E-3</v>
      </c>
      <c r="U18" s="1">
        <v>6.4814814814806443E-4</v>
      </c>
      <c r="V18" s="1">
        <v>2.5925925925925908E-3</v>
      </c>
      <c r="W18" s="1">
        <v>0</v>
      </c>
      <c r="X18" s="1">
        <v>1.055555555555554E-2</v>
      </c>
      <c r="Y18" s="1">
        <v>1.1770833333333286E-2</v>
      </c>
      <c r="Z18" s="1">
        <v>2.4328703703703769E-2</v>
      </c>
    </row>
    <row r="19" spans="1:26" x14ac:dyDescent="0.25">
      <c r="A19">
        <v>1</v>
      </c>
      <c r="B19" t="s">
        <v>372</v>
      </c>
      <c r="C19" t="s">
        <v>373</v>
      </c>
      <c r="D19">
        <v>2015</v>
      </c>
      <c r="E19" s="1">
        <v>0.64446759259259256</v>
      </c>
      <c r="F19" s="1">
        <v>0.64462962962962966</v>
      </c>
      <c r="G19" s="1">
        <v>0.64659722222222227</v>
      </c>
      <c r="H19" s="1">
        <v>0.65341435185185182</v>
      </c>
      <c r="I19" s="1">
        <v>0.64726851851851852</v>
      </c>
      <c r="J19" s="1">
        <v>0.65643518518518518</v>
      </c>
      <c r="K19" s="1">
        <v>0.66060185185185183</v>
      </c>
      <c r="L19" s="1">
        <v>0.67020833333333329</v>
      </c>
      <c r="M19" s="1">
        <v>0.67962962962962958</v>
      </c>
      <c r="N19" s="1" t="s">
        <v>439</v>
      </c>
      <c r="O19" s="1" t="s">
        <v>36</v>
      </c>
      <c r="P19" s="1" t="s">
        <v>55</v>
      </c>
      <c r="S19" s="1">
        <v>1.6203703703709937E-4</v>
      </c>
      <c r="T19" s="1">
        <v>1.9675925925926041E-3</v>
      </c>
      <c r="U19" s="1">
        <v>6.712962962962532E-4</v>
      </c>
      <c r="V19" s="1">
        <v>6.817129629629548E-3</v>
      </c>
      <c r="W19" s="1">
        <v>3.0208333333333615E-3</v>
      </c>
      <c r="X19" s="1">
        <v>1.3333333333333308E-2</v>
      </c>
      <c r="Y19" s="1">
        <v>2.3611111111111027E-2</v>
      </c>
      <c r="Z19" s="1">
        <v>3.5162037037037019E-2</v>
      </c>
    </row>
    <row r="20" spans="1:26" x14ac:dyDescent="0.25">
      <c r="A20">
        <v>2</v>
      </c>
      <c r="B20" t="s">
        <v>8</v>
      </c>
      <c r="C20" t="s">
        <v>383</v>
      </c>
      <c r="D20">
        <v>2010</v>
      </c>
      <c r="E20" s="1">
        <v>0.5543865740740741</v>
      </c>
      <c r="F20" s="1">
        <v>0.55474537037037042</v>
      </c>
      <c r="G20" s="1">
        <v>0.55612268518518515</v>
      </c>
      <c r="H20" s="1">
        <v>0.56155092592592593</v>
      </c>
      <c r="I20" s="1">
        <v>0.55743055555555554</v>
      </c>
      <c r="J20" s="1">
        <v>0.56739583333333332</v>
      </c>
      <c r="K20" s="1">
        <v>0.57517361111111109</v>
      </c>
      <c r="L20" s="1">
        <v>0.57655092592592594</v>
      </c>
      <c r="M20" s="1">
        <v>0.57829861111111114</v>
      </c>
      <c r="N20" s="1" t="s">
        <v>462</v>
      </c>
      <c r="O20" s="1" t="s">
        <v>36</v>
      </c>
      <c r="P20" s="1" t="s">
        <v>55</v>
      </c>
      <c r="S20" s="1">
        <v>3.5879629629631538E-4</v>
      </c>
      <c r="T20" s="1">
        <v>1.3773148148147341E-3</v>
      </c>
      <c r="U20" s="1">
        <v>1.3078703703703898E-3</v>
      </c>
      <c r="V20" s="1">
        <v>5.4282407407407751E-3</v>
      </c>
      <c r="W20" s="1">
        <v>5.8449074074073959E-3</v>
      </c>
      <c r="X20" s="1">
        <v>1.7743055555555554E-2</v>
      </c>
      <c r="Y20" s="1">
        <v>2.0428240740740788E-2</v>
      </c>
      <c r="Z20" s="1">
        <v>2.3912037037037037E-2</v>
      </c>
    </row>
    <row r="21" spans="1:26" x14ac:dyDescent="0.25">
      <c r="A21">
        <v>2</v>
      </c>
      <c r="B21" t="s">
        <v>406</v>
      </c>
      <c r="C21" t="s">
        <v>467</v>
      </c>
      <c r="D21">
        <v>2024</v>
      </c>
      <c r="E21" s="1">
        <v>0.61962962962962964</v>
      </c>
      <c r="F21" s="1">
        <v>0.61982638888888886</v>
      </c>
      <c r="G21" s="1">
        <v>0.62267361111111108</v>
      </c>
      <c r="H21" s="1">
        <v>0.62486111111111109</v>
      </c>
      <c r="I21" s="1">
        <v>0.62342592592592594</v>
      </c>
      <c r="J21" s="1">
        <v>0.62770833333333331</v>
      </c>
      <c r="K21" s="1">
        <v>0.63137731481481485</v>
      </c>
      <c r="L21" s="1">
        <v>0.63449074074074074</v>
      </c>
      <c r="M21" s="1">
        <v>0.63612268518518522</v>
      </c>
      <c r="N21" s="1" t="s">
        <v>333</v>
      </c>
      <c r="O21" s="1" t="s">
        <v>36</v>
      </c>
      <c r="P21" s="1" t="s">
        <v>55</v>
      </c>
      <c r="S21" s="1">
        <v>1.96759259259216E-4</v>
      </c>
      <c r="T21" s="1">
        <v>2.8472222222222232E-3</v>
      </c>
      <c r="U21" s="1">
        <v>7.523148148148584E-4</v>
      </c>
      <c r="V21" s="1">
        <v>2.1875000000000089E-3</v>
      </c>
      <c r="W21" s="1">
        <v>2.8472222222222232E-3</v>
      </c>
      <c r="X21" s="1">
        <v>7.9513888888889106E-3</v>
      </c>
      <c r="Y21" s="1">
        <v>1.1817129629629664E-2</v>
      </c>
      <c r="Z21" s="1">
        <v>1.649305555555558E-2</v>
      </c>
    </row>
    <row r="22" spans="1:26" x14ac:dyDescent="0.25">
      <c r="A22">
        <v>2</v>
      </c>
      <c r="B22" t="s">
        <v>372</v>
      </c>
      <c r="C22" t="s">
        <v>474</v>
      </c>
      <c r="D22">
        <v>2023</v>
      </c>
      <c r="E22" s="1">
        <v>0.45598379629629632</v>
      </c>
      <c r="F22" s="1">
        <v>0.4561574074074074</v>
      </c>
      <c r="G22" s="1">
        <v>0.45729166666666665</v>
      </c>
      <c r="H22" s="1">
        <v>0.46199074074074076</v>
      </c>
      <c r="I22" s="1">
        <v>0.45844907407407409</v>
      </c>
      <c r="J22" s="1">
        <v>0.46383101851851855</v>
      </c>
      <c r="K22" s="1">
        <v>0.47416666666666668</v>
      </c>
      <c r="L22" s="1">
        <v>0.47437499999999999</v>
      </c>
      <c r="M22" s="1">
        <v>0.47488425925925926</v>
      </c>
      <c r="N22" s="1" t="s">
        <v>343</v>
      </c>
      <c r="O22" s="1" t="s">
        <v>36</v>
      </c>
      <c r="P22" s="1" t="s">
        <v>55</v>
      </c>
      <c r="S22" s="1">
        <v>1.7361111111108274E-4</v>
      </c>
      <c r="T22" s="1">
        <v>1.1342592592592515E-3</v>
      </c>
      <c r="U22" s="1">
        <v>1.1574074074074403E-3</v>
      </c>
      <c r="V22" s="1">
        <v>4.6990740740741055E-3</v>
      </c>
      <c r="W22" s="1">
        <v>1.8402777777777879E-3</v>
      </c>
      <c r="X22" s="1">
        <v>1.5717592592592589E-2</v>
      </c>
      <c r="Y22" s="1">
        <v>1.7083333333333339E-2</v>
      </c>
      <c r="Z22" s="1">
        <v>1.8900462962962938E-2</v>
      </c>
    </row>
    <row r="23" spans="1:26" x14ac:dyDescent="0.25">
      <c r="A23">
        <v>3</v>
      </c>
      <c r="B23" t="s">
        <v>38</v>
      </c>
      <c r="C23" t="s">
        <v>475</v>
      </c>
      <c r="D23">
        <v>2024</v>
      </c>
      <c r="E23" s="1">
        <v>0.45986111111111111</v>
      </c>
      <c r="F23" s="1">
        <v>0.46064814814814814</v>
      </c>
      <c r="G23" s="1">
        <v>0.46416666666666667</v>
      </c>
      <c r="H23" s="1">
        <v>0.46754629629629629</v>
      </c>
      <c r="I23" s="1">
        <v>0.46545138888888887</v>
      </c>
      <c r="J23" s="1">
        <v>0.46908564814814813</v>
      </c>
      <c r="K23" s="1">
        <v>0.48538194444444444</v>
      </c>
      <c r="L23" s="1">
        <v>0.50359953703703708</v>
      </c>
      <c r="M23" s="1">
        <v>0.50484953703703705</v>
      </c>
      <c r="N23" s="1" t="s">
        <v>476</v>
      </c>
      <c r="O23" s="1" t="s">
        <v>36</v>
      </c>
      <c r="P23" s="1" t="s">
        <v>55</v>
      </c>
      <c r="S23" s="1">
        <v>7.8703703703703054E-4</v>
      </c>
      <c r="T23" s="1">
        <v>3.5185185185185319E-3</v>
      </c>
      <c r="U23" s="1">
        <v>1.284722222222201E-3</v>
      </c>
      <c r="V23" s="1">
        <v>3.3796296296296213E-3</v>
      </c>
      <c r="W23" s="1">
        <v>1.5393518518518334E-3</v>
      </c>
      <c r="X23" s="1">
        <v>1.9930555555555562E-2</v>
      </c>
      <c r="Y23" s="1">
        <v>3.943287037037041E-2</v>
      </c>
      <c r="Z23" s="1">
        <v>4.4988425925925946E-2</v>
      </c>
    </row>
    <row r="24" spans="1:26" x14ac:dyDescent="0.25">
      <c r="A24">
        <v>2</v>
      </c>
      <c r="B24" t="s">
        <v>322</v>
      </c>
      <c r="C24" t="s">
        <v>484</v>
      </c>
      <c r="D24">
        <v>2024</v>
      </c>
      <c r="E24" s="1">
        <v>0.43744212962962964</v>
      </c>
      <c r="F24" s="1">
        <v>0.43785879629629632</v>
      </c>
      <c r="G24" s="1">
        <v>0.43877314814814816</v>
      </c>
      <c r="H24" s="1">
        <v>0.44112268518518516</v>
      </c>
      <c r="I24" s="1">
        <v>0.43929398148148147</v>
      </c>
      <c r="J24" s="1">
        <v>0.44184027777777779</v>
      </c>
      <c r="K24" s="1">
        <v>0.44527777777777777</v>
      </c>
      <c r="L24" s="1">
        <v>0.44578703703703704</v>
      </c>
      <c r="M24" s="1">
        <v>0.44605324074074076</v>
      </c>
      <c r="N24" s="1" t="s">
        <v>343</v>
      </c>
      <c r="O24" s="1" t="s">
        <v>36</v>
      </c>
      <c r="P24" s="1" t="s">
        <v>55</v>
      </c>
      <c r="S24" s="1">
        <v>4.1666666666667629E-4</v>
      </c>
      <c r="T24" s="1">
        <v>9.1435185185184675E-4</v>
      </c>
      <c r="U24" s="1">
        <v>5.2083333333330373E-4</v>
      </c>
      <c r="V24" s="1">
        <v>2.3495370370369972E-3</v>
      </c>
      <c r="W24" s="1">
        <v>7.1759259259263075E-4</v>
      </c>
      <c r="X24" s="1">
        <v>5.9837962962963065E-3</v>
      </c>
      <c r="Y24" s="1">
        <v>7.0138888888888751E-3</v>
      </c>
      <c r="Z24" s="1">
        <v>8.6111111111111249E-3</v>
      </c>
    </row>
    <row r="25" spans="1:26" x14ac:dyDescent="0.25">
      <c r="A25">
        <v>1</v>
      </c>
      <c r="B25" t="s">
        <v>393</v>
      </c>
      <c r="C25" t="s">
        <v>498</v>
      </c>
      <c r="D25">
        <v>2019</v>
      </c>
      <c r="E25" s="1">
        <v>0.52186342592592594</v>
      </c>
      <c r="F25" s="1">
        <v>0.5219907407407407</v>
      </c>
      <c r="G25" s="1">
        <v>0.5227546296296296</v>
      </c>
      <c r="H25" s="1">
        <v>0.52560185185185182</v>
      </c>
      <c r="I25" s="1">
        <v>0.52362268518518518</v>
      </c>
      <c r="J25" s="1">
        <v>0.52704861111111112</v>
      </c>
      <c r="K25" s="1">
        <v>0.53288194444444448</v>
      </c>
      <c r="L25" s="1">
        <v>0.53333333333333333</v>
      </c>
      <c r="M25" s="1">
        <v>0.54622685185185182</v>
      </c>
      <c r="N25" s="1" t="s">
        <v>499</v>
      </c>
      <c r="O25" s="1" t="s">
        <v>36</v>
      </c>
      <c r="P25" s="1" t="s">
        <v>55</v>
      </c>
      <c r="S25" s="1">
        <v>1.273148148147607E-4</v>
      </c>
      <c r="T25" s="1">
        <v>7.6388888888889728E-4</v>
      </c>
      <c r="U25" s="1">
        <v>8.6805555555558023E-4</v>
      </c>
      <c r="V25" s="1">
        <v>2.8472222222222232E-3</v>
      </c>
      <c r="W25" s="1">
        <v>1.4467592592593004E-3</v>
      </c>
      <c r="X25" s="1">
        <v>9.2592592592593004E-3</v>
      </c>
      <c r="Y25" s="1">
        <v>1.0578703703703729E-2</v>
      </c>
      <c r="Z25" s="1">
        <v>2.4363425925925886E-2</v>
      </c>
    </row>
    <row r="26" spans="1:26" x14ac:dyDescent="0.25">
      <c r="A26">
        <v>3</v>
      </c>
      <c r="B26" t="s">
        <v>393</v>
      </c>
      <c r="C26" t="s">
        <v>383</v>
      </c>
      <c r="D26">
        <v>2013</v>
      </c>
      <c r="E26" s="1">
        <v>0.63793981481481477</v>
      </c>
      <c r="F26" s="1">
        <v>0.63834490740740746</v>
      </c>
      <c r="G26" s="1">
        <v>0.63946759259259256</v>
      </c>
      <c r="H26" s="1">
        <v>0.64422453703703708</v>
      </c>
      <c r="I26" s="1">
        <v>0.64064814814814819</v>
      </c>
      <c r="J26" s="1">
        <v>0.64533564814814814</v>
      </c>
      <c r="K26" s="1">
        <v>0.65133101851851849</v>
      </c>
      <c r="L26" s="1">
        <v>0.65391203703703704</v>
      </c>
      <c r="M26" s="1">
        <v>0.65541666666666665</v>
      </c>
      <c r="N26" s="1" t="s">
        <v>54</v>
      </c>
      <c r="O26" s="1" t="s">
        <v>36</v>
      </c>
      <c r="P26" s="1" t="s">
        <v>55</v>
      </c>
      <c r="S26" s="1">
        <v>4.0509259259269292E-4</v>
      </c>
      <c r="T26" s="1">
        <v>1.1226851851851016E-3</v>
      </c>
      <c r="U26" s="1">
        <v>1.1805555555556291E-3</v>
      </c>
      <c r="V26" s="1">
        <v>4.7569444444445219E-3</v>
      </c>
      <c r="W26" s="1">
        <v>1.1111111111110628E-3</v>
      </c>
      <c r="X26" s="1">
        <v>1.0682870370370301E-2</v>
      </c>
      <c r="Y26" s="1">
        <v>1.4444444444444482E-2</v>
      </c>
      <c r="Z26" s="1">
        <v>1.7476851851851882E-2</v>
      </c>
    </row>
    <row r="27" spans="1:26" x14ac:dyDescent="0.25">
      <c r="A27">
        <v>2</v>
      </c>
      <c r="B27" t="s">
        <v>38</v>
      </c>
      <c r="C27" t="s">
        <v>21</v>
      </c>
      <c r="D27">
        <v>2019</v>
      </c>
      <c r="E27" s="1">
        <v>0.7414236111111111</v>
      </c>
      <c r="F27" s="1">
        <v>0.7415046296296296</v>
      </c>
      <c r="G27" s="1">
        <v>0.74241898148148144</v>
      </c>
      <c r="H27" s="1">
        <v>0.74578703703703708</v>
      </c>
      <c r="I27" s="1">
        <v>0.74354166666666666</v>
      </c>
      <c r="J27" s="1">
        <v>0.75064814814814818</v>
      </c>
      <c r="K27" s="1">
        <v>0.75646990740740738</v>
      </c>
      <c r="L27" s="1">
        <v>0.7603819444444444</v>
      </c>
      <c r="M27" s="1">
        <v>0.75996527777777778</v>
      </c>
      <c r="N27" s="1" t="s">
        <v>54</v>
      </c>
      <c r="O27" s="1" t="s">
        <v>36</v>
      </c>
      <c r="P27" s="1" t="s">
        <v>55</v>
      </c>
      <c r="S27" s="1">
        <v>8.1018518518494176E-5</v>
      </c>
      <c r="T27" s="1">
        <v>9.1435185185184675E-4</v>
      </c>
      <c r="U27" s="1">
        <v>1.1226851851852127E-3</v>
      </c>
      <c r="V27" s="1">
        <v>3.368055555555638E-3</v>
      </c>
      <c r="W27" s="1">
        <v>4.8611111111110938E-3</v>
      </c>
      <c r="X27" s="1">
        <v>1.2928240740740726E-2</v>
      </c>
      <c r="Y27" s="1">
        <v>1.7962962962962958E-2</v>
      </c>
      <c r="Z27" s="1">
        <v>1.8541666666666679E-2</v>
      </c>
    </row>
    <row r="28" spans="1:26" x14ac:dyDescent="0.25">
      <c r="A28">
        <v>4</v>
      </c>
      <c r="B28" t="s">
        <v>8</v>
      </c>
      <c r="C28" t="s">
        <v>383</v>
      </c>
      <c r="D28">
        <v>2008</v>
      </c>
      <c r="E28" s="1">
        <v>0.47193287037037035</v>
      </c>
      <c r="F28" s="1">
        <v>0.47212962962962962</v>
      </c>
      <c r="G28" s="1">
        <v>0.47302083333333333</v>
      </c>
      <c r="H28" s="1">
        <v>0.47657407407407409</v>
      </c>
      <c r="I28" s="1">
        <v>0.47394675925925928</v>
      </c>
      <c r="J28" s="1">
        <v>0.47896990740740741</v>
      </c>
      <c r="K28" s="1">
        <v>0.49815972222222221</v>
      </c>
      <c r="L28" s="1">
        <v>0.49863425925925925</v>
      </c>
      <c r="M28" s="1">
        <v>0.50002314814814819</v>
      </c>
      <c r="N28" s="1" t="s">
        <v>514</v>
      </c>
      <c r="O28" s="1" t="s">
        <v>36</v>
      </c>
      <c r="P28" s="1" t="s">
        <v>55</v>
      </c>
      <c r="S28" s="1">
        <v>1.9675925925927151E-4</v>
      </c>
      <c r="T28" s="1">
        <v>8.9120370370371349E-4</v>
      </c>
      <c r="U28" s="1">
        <v>9.2592592592594114E-4</v>
      </c>
      <c r="V28" s="1">
        <v>3.5532407407407596E-3</v>
      </c>
      <c r="W28" s="1">
        <v>2.3958333333333193E-3</v>
      </c>
      <c r="X28" s="1">
        <v>2.4212962962962936E-2</v>
      </c>
      <c r="Y28" s="1">
        <v>2.5613425925925914E-2</v>
      </c>
      <c r="Z28" s="1">
        <v>2.8090277777777839E-2</v>
      </c>
    </row>
    <row r="29" spans="1:26" x14ac:dyDescent="0.25">
      <c r="A29">
        <v>3</v>
      </c>
      <c r="B29" t="s">
        <v>372</v>
      </c>
      <c r="C29" t="s">
        <v>373</v>
      </c>
      <c r="D29">
        <v>2020</v>
      </c>
      <c r="E29" s="1">
        <v>0.56524305555555554</v>
      </c>
      <c r="F29" s="1">
        <v>0.56562500000000004</v>
      </c>
      <c r="G29" s="1">
        <v>0.56641203703703702</v>
      </c>
      <c r="H29" s="1">
        <v>0.5680439814814815</v>
      </c>
      <c r="I29" s="1">
        <v>0.56704861111111116</v>
      </c>
      <c r="J29" s="1">
        <v>0.56883101851851847</v>
      </c>
      <c r="K29" s="1">
        <v>0.57362268518518522</v>
      </c>
      <c r="L29" s="1">
        <v>0.57425925925925925</v>
      </c>
      <c r="M29" s="1">
        <v>0.57560185185185186</v>
      </c>
      <c r="N29" s="1" t="s">
        <v>333</v>
      </c>
      <c r="O29" s="1" t="s">
        <v>36</v>
      </c>
      <c r="P29" s="1" t="s">
        <v>55</v>
      </c>
      <c r="S29" s="1">
        <v>3.8194444444450415E-4</v>
      </c>
      <c r="T29" s="1">
        <v>7.8703703703697503E-4</v>
      </c>
      <c r="U29" s="1">
        <v>6.3657407407413658E-4</v>
      </c>
      <c r="V29" s="1">
        <v>1.6319444444444775E-3</v>
      </c>
      <c r="W29" s="1">
        <v>7.8703703703697503E-4</v>
      </c>
      <c r="X29" s="1">
        <v>6.5740740740740655E-3</v>
      </c>
      <c r="Y29" s="1">
        <v>7.8472222222222276E-3</v>
      </c>
      <c r="Z29" s="1">
        <v>1.0358796296296324E-2</v>
      </c>
    </row>
    <row r="30" spans="1:26" x14ac:dyDescent="0.25">
      <c r="A30">
        <v>2</v>
      </c>
      <c r="B30" t="s">
        <v>12</v>
      </c>
      <c r="C30" t="s">
        <v>424</v>
      </c>
      <c r="D30">
        <v>2019</v>
      </c>
      <c r="E30" s="1">
        <v>0.56993055555555561</v>
      </c>
      <c r="F30" s="1">
        <v>0.57020833333333332</v>
      </c>
      <c r="G30" s="1">
        <v>0.57098379629629625</v>
      </c>
      <c r="H30" s="1">
        <v>0.57383101851851848</v>
      </c>
      <c r="I30" s="1">
        <v>0.57239583333333333</v>
      </c>
      <c r="J30" s="1">
        <v>0.57597222222222222</v>
      </c>
      <c r="K30" s="1">
        <v>0.58101851851851849</v>
      </c>
      <c r="L30" s="1">
        <v>0.58390046296296294</v>
      </c>
      <c r="M30" s="1">
        <v>0.58496527777777774</v>
      </c>
      <c r="N30" s="1" t="s">
        <v>54</v>
      </c>
      <c r="O30" s="1" t="s">
        <v>36</v>
      </c>
      <c r="P30" s="1" t="s">
        <v>169</v>
      </c>
      <c r="S30" s="1">
        <v>2.7777777777771018E-4</v>
      </c>
      <c r="T30" s="1">
        <v>7.7546296296293615E-4</v>
      </c>
      <c r="U30" s="1">
        <v>1.4120370370370727E-3</v>
      </c>
      <c r="V30" s="1">
        <v>2.8472222222222232E-3</v>
      </c>
      <c r="W30" s="1">
        <v>2.1412037037037424E-3</v>
      </c>
      <c r="X30" s="1">
        <v>8.6226851851851638E-3</v>
      </c>
      <c r="Y30" s="1">
        <v>1.2916666666666687E-2</v>
      </c>
      <c r="Z30" s="1">
        <v>1.503472222222213E-2</v>
      </c>
    </row>
    <row r="31" spans="1:26" x14ac:dyDescent="0.25">
      <c r="A31">
        <v>4</v>
      </c>
      <c r="B31" t="s">
        <v>38</v>
      </c>
      <c r="C31" t="s">
        <v>525</v>
      </c>
      <c r="D31">
        <v>2022</v>
      </c>
      <c r="E31" s="1">
        <v>0.57828703703703699</v>
      </c>
      <c r="F31" s="1">
        <v>0.57840277777777782</v>
      </c>
      <c r="G31" s="1">
        <v>0.57928240740740744</v>
      </c>
      <c r="H31" s="1">
        <v>0.58439814814814817</v>
      </c>
      <c r="I31" s="1">
        <v>0.58067129629629632</v>
      </c>
      <c r="J31" s="1">
        <v>0.58648148148148149</v>
      </c>
      <c r="K31" s="1">
        <v>0.58936342592592594</v>
      </c>
      <c r="L31" s="1">
        <v>0.59002314814814816</v>
      </c>
      <c r="M31" s="1">
        <v>0.59060185185185188</v>
      </c>
      <c r="N31" s="1" t="s">
        <v>54</v>
      </c>
      <c r="O31" s="1" t="s">
        <v>36</v>
      </c>
      <c r="P31" s="1" t="s">
        <v>55</v>
      </c>
      <c r="S31" s="1">
        <v>1.1574074074083285E-4</v>
      </c>
      <c r="T31" s="1">
        <v>8.796296296296191E-4</v>
      </c>
      <c r="U31" s="1">
        <v>1.388888888888884E-3</v>
      </c>
      <c r="V31" s="1">
        <v>5.1157407407407263E-3</v>
      </c>
      <c r="W31" s="1">
        <v>2.0833333333333259E-3</v>
      </c>
      <c r="X31" s="1">
        <v>8.6921296296296191E-3</v>
      </c>
      <c r="Y31" s="1">
        <v>1.0740740740740717E-2</v>
      </c>
      <c r="Z31" s="1">
        <v>1.2314814814814889E-2</v>
      </c>
    </row>
    <row r="32" spans="1:26" x14ac:dyDescent="0.25">
      <c r="A32">
        <v>4</v>
      </c>
      <c r="B32" t="s">
        <v>38</v>
      </c>
      <c r="C32" t="s">
        <v>525</v>
      </c>
      <c r="D32">
        <v>2023</v>
      </c>
      <c r="E32" s="1">
        <v>0.59737268518518516</v>
      </c>
      <c r="F32" s="1">
        <v>0.59755787037037034</v>
      </c>
      <c r="G32" s="1">
        <v>0.59914351851851855</v>
      </c>
      <c r="H32" s="1">
        <v>0.60503472222222221</v>
      </c>
      <c r="I32" s="1">
        <v>0.60093750000000001</v>
      </c>
      <c r="J32" s="1">
        <v>0.60503472222222221</v>
      </c>
      <c r="K32" s="1">
        <v>0.61597222222222225</v>
      </c>
      <c r="L32" s="1">
        <v>0.62740740740740741</v>
      </c>
      <c r="M32" s="1">
        <v>0.62792824074074072</v>
      </c>
      <c r="N32" s="1" t="s">
        <v>528</v>
      </c>
      <c r="O32" s="1" t="s">
        <v>36</v>
      </c>
      <c r="P32" s="1" t="s">
        <v>55</v>
      </c>
      <c r="S32" s="1">
        <v>1.8518518518517713E-4</v>
      </c>
      <c r="T32" s="1">
        <v>1.585648148148211E-3</v>
      </c>
      <c r="U32" s="1">
        <v>1.7939814814814659E-3</v>
      </c>
      <c r="V32" s="1">
        <v>5.8912037037036624E-3</v>
      </c>
      <c r="W32" s="1">
        <v>0</v>
      </c>
      <c r="X32" s="1">
        <v>1.5034722222222241E-2</v>
      </c>
      <c r="Y32" s="1">
        <v>2.8263888888888866E-2</v>
      </c>
      <c r="Z32" s="1">
        <v>3.0555555555555558E-2</v>
      </c>
    </row>
    <row r="33" spans="1:26" x14ac:dyDescent="0.25">
      <c r="A33">
        <v>2</v>
      </c>
      <c r="B33" t="s">
        <v>38</v>
      </c>
      <c r="C33" t="s">
        <v>531</v>
      </c>
      <c r="D33">
        <v>2022</v>
      </c>
      <c r="E33" s="1">
        <v>0.61236111111111113</v>
      </c>
      <c r="F33" s="1">
        <v>0.61315972222222226</v>
      </c>
      <c r="G33" s="1">
        <v>0.62250000000000005</v>
      </c>
      <c r="H33" s="1">
        <v>0.62701388888888887</v>
      </c>
      <c r="I33" s="1">
        <v>0.62509259259259264</v>
      </c>
      <c r="J33" s="1">
        <v>0.62935185185185183</v>
      </c>
      <c r="K33" s="1">
        <v>0.63945601851851852</v>
      </c>
      <c r="L33" s="1">
        <v>0.6409259259259259</v>
      </c>
      <c r="M33" s="1">
        <v>0.64453703703703702</v>
      </c>
      <c r="N33" s="1" t="s">
        <v>54</v>
      </c>
      <c r="O33" s="1" t="s">
        <v>36</v>
      </c>
      <c r="P33" s="1" t="s">
        <v>55</v>
      </c>
      <c r="S33" s="1">
        <v>7.9861111111112493E-4</v>
      </c>
      <c r="T33" s="1">
        <v>9.3402777777777946E-3</v>
      </c>
      <c r="U33" s="1">
        <v>2.5925925925925908E-3</v>
      </c>
      <c r="V33" s="1">
        <v>4.5138888888888173E-3</v>
      </c>
      <c r="W33" s="1">
        <v>2.3379629629629584E-3</v>
      </c>
      <c r="X33" s="1">
        <v>1.4363425925925877E-2</v>
      </c>
      <c r="Y33" s="1">
        <v>1.8425925925925846E-2</v>
      </c>
      <c r="Z33" s="1">
        <v>3.2175925925925886E-2</v>
      </c>
    </row>
    <row r="34" spans="1:26" x14ac:dyDescent="0.25">
      <c r="A34">
        <v>3</v>
      </c>
      <c r="B34" t="s">
        <v>8</v>
      </c>
      <c r="C34" t="s">
        <v>239</v>
      </c>
      <c r="D34">
        <v>2024</v>
      </c>
      <c r="E34" s="1">
        <v>0.62211805555555555</v>
      </c>
      <c r="F34" s="1">
        <v>0.62231481481481477</v>
      </c>
      <c r="G34" s="1">
        <v>0.62461805555555561</v>
      </c>
      <c r="H34" s="1">
        <v>0.62827546296296299</v>
      </c>
      <c r="I34" s="1">
        <v>0.62612268518518521</v>
      </c>
      <c r="J34" s="1">
        <v>0.63043981481481481</v>
      </c>
      <c r="K34" s="1">
        <v>0.63574074074074072</v>
      </c>
      <c r="L34" s="1">
        <v>0.63854166666666667</v>
      </c>
      <c r="M34" s="1">
        <v>0.64047453703703705</v>
      </c>
      <c r="N34" s="1" t="s">
        <v>365</v>
      </c>
      <c r="O34" s="1" t="s">
        <v>36</v>
      </c>
      <c r="P34" s="1" t="s">
        <v>55</v>
      </c>
      <c r="S34" s="1">
        <v>1.96759259259216E-4</v>
      </c>
      <c r="T34" s="1">
        <v>2.3032407407408417E-3</v>
      </c>
      <c r="U34" s="1">
        <v>1.5046296296296058E-3</v>
      </c>
      <c r="V34" s="1">
        <v>3.657407407407387E-3</v>
      </c>
      <c r="W34" s="1">
        <v>2.1643518518518201E-3</v>
      </c>
      <c r="X34" s="1">
        <v>9.6180555555555047E-3</v>
      </c>
      <c r="Y34" s="1">
        <v>1.3923611111111067E-2</v>
      </c>
      <c r="Z34" s="1">
        <v>1.8356481481481501E-2</v>
      </c>
    </row>
    <row r="35" spans="1:26" x14ac:dyDescent="0.25">
      <c r="A35">
        <v>3</v>
      </c>
      <c r="B35" t="s">
        <v>14</v>
      </c>
      <c r="C35" t="s">
        <v>533</v>
      </c>
      <c r="D35">
        <v>2012</v>
      </c>
      <c r="E35" s="1">
        <v>0.66054398148148152</v>
      </c>
      <c r="F35" s="1">
        <v>0.66081018518518519</v>
      </c>
      <c r="G35" s="1">
        <v>0.66170138888888885</v>
      </c>
      <c r="H35" s="1">
        <v>0.66593749999999996</v>
      </c>
      <c r="I35" s="1">
        <v>0.66370370370370368</v>
      </c>
      <c r="J35" s="1">
        <v>0.66744212962962968</v>
      </c>
      <c r="K35" s="1">
        <v>0.6711111111111111</v>
      </c>
      <c r="L35" s="1">
        <v>0.67218750000000005</v>
      </c>
      <c r="M35" s="1">
        <v>0.67343750000000002</v>
      </c>
      <c r="N35" s="1" t="s">
        <v>534</v>
      </c>
      <c r="O35" s="1" t="s">
        <v>36</v>
      </c>
      <c r="P35" s="1" t="s">
        <v>169</v>
      </c>
      <c r="S35" s="1">
        <v>2.662037037036713E-4</v>
      </c>
      <c r="T35" s="1">
        <v>8.9120370370365798E-4</v>
      </c>
      <c r="U35" s="1">
        <v>2.0023148148148318E-3</v>
      </c>
      <c r="V35" s="1">
        <v>4.2361111111111072E-3</v>
      </c>
      <c r="W35" s="1">
        <v>1.5046296296297168E-3</v>
      </c>
      <c r="X35" s="1">
        <v>7.4074074074074181E-3</v>
      </c>
      <c r="Y35" s="1">
        <v>1.0486111111111196E-2</v>
      </c>
      <c r="Z35" s="1">
        <v>1.2893518518518499E-2</v>
      </c>
    </row>
    <row r="36" spans="1:26" x14ac:dyDescent="0.25">
      <c r="A36">
        <v>3</v>
      </c>
      <c r="B36" t="s">
        <v>8</v>
      </c>
      <c r="C36" t="s">
        <v>383</v>
      </c>
      <c r="D36">
        <v>2007</v>
      </c>
      <c r="E36" s="1">
        <v>0.77652777777777782</v>
      </c>
      <c r="F36" s="1">
        <v>0.7769328703703704</v>
      </c>
      <c r="G36" s="1">
        <v>0.77968749999999998</v>
      </c>
      <c r="H36" s="1">
        <v>0.78243055555555552</v>
      </c>
      <c r="I36" s="1">
        <v>0.78043981481481484</v>
      </c>
      <c r="J36" s="1">
        <v>0.78418981481481487</v>
      </c>
      <c r="K36" s="1">
        <v>0.78960648148148149</v>
      </c>
      <c r="L36" s="1">
        <v>0.79049768518518515</v>
      </c>
      <c r="M36" s="1">
        <v>0.79075231481481478</v>
      </c>
      <c r="N36" s="1" t="s">
        <v>54</v>
      </c>
      <c r="O36" s="1" t="s">
        <v>36</v>
      </c>
      <c r="P36" s="1" t="s">
        <v>55</v>
      </c>
      <c r="S36" s="1">
        <v>4.050925925925819E-4</v>
      </c>
      <c r="T36" s="1">
        <v>2.7546296296295791E-3</v>
      </c>
      <c r="U36" s="1">
        <v>7.523148148148584E-4</v>
      </c>
      <c r="V36" s="1">
        <v>2.7430555555555403E-3</v>
      </c>
      <c r="W36" s="1">
        <v>1.7592592592593492E-3</v>
      </c>
      <c r="X36" s="1">
        <v>9.1666666666666563E-3</v>
      </c>
      <c r="Y36" s="1">
        <v>1.0810185185185173E-2</v>
      </c>
      <c r="Z36" s="1">
        <v>1.4224537037036966E-2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BDBF3-526E-4B2A-B73D-8EF6389D36F4}">
  <dimension ref="A1:D206"/>
  <sheetViews>
    <sheetView workbookViewId="0">
      <selection activeCell="D1" sqref="D1"/>
    </sheetView>
  </sheetViews>
  <sheetFormatPr defaultRowHeight="15" x14ac:dyDescent="0.25"/>
  <cols>
    <col min="1" max="2" width="16.5703125" customWidth="1"/>
    <col min="4" max="4" width="16.5703125" customWidth="1"/>
  </cols>
  <sheetData>
    <row r="1" spans="1:4" x14ac:dyDescent="0.25">
      <c r="A1" s="1" t="s">
        <v>45</v>
      </c>
      <c r="B1" s="1" t="s">
        <v>545</v>
      </c>
      <c r="D1" t="s">
        <v>715</v>
      </c>
    </row>
    <row r="2" spans="1:4" x14ac:dyDescent="0.25">
      <c r="A2" s="1" t="s">
        <v>33</v>
      </c>
      <c r="B2" s="1">
        <v>8.5995370370370861E-3</v>
      </c>
      <c r="D2" s="2">
        <f>B2*1440</f>
        <v>12.383333333333404</v>
      </c>
    </row>
    <row r="3" spans="1:4" x14ac:dyDescent="0.25">
      <c r="A3" s="1" t="s">
        <v>33</v>
      </c>
      <c r="B3" s="1">
        <v>1.0208333333333333E-2</v>
      </c>
      <c r="D3" s="2">
        <f t="shared" ref="D3:D66" si="0">B3*1440</f>
        <v>14.7</v>
      </c>
    </row>
    <row r="4" spans="1:4" x14ac:dyDescent="0.25">
      <c r="A4" s="1" t="s">
        <v>33</v>
      </c>
      <c r="B4" s="1">
        <v>1.3101851851851865E-2</v>
      </c>
      <c r="D4" s="2">
        <f t="shared" si="0"/>
        <v>18.866666666666685</v>
      </c>
    </row>
    <row r="5" spans="1:4" x14ac:dyDescent="0.25">
      <c r="A5" s="1" t="s">
        <v>33</v>
      </c>
      <c r="B5" s="1">
        <v>1.201388888888888E-2</v>
      </c>
      <c r="D5" s="2">
        <f t="shared" si="0"/>
        <v>17.299999999999986</v>
      </c>
    </row>
    <row r="6" spans="1:4" x14ac:dyDescent="0.25">
      <c r="A6" s="1" t="s">
        <v>33</v>
      </c>
      <c r="B6" s="1">
        <v>6.6203703703704431E-3</v>
      </c>
      <c r="D6" s="2">
        <f t="shared" si="0"/>
        <v>9.533333333333438</v>
      </c>
    </row>
    <row r="7" spans="1:4" x14ac:dyDescent="0.25">
      <c r="A7" s="1" t="s">
        <v>33</v>
      </c>
      <c r="B7" s="1">
        <v>1.0381944444444402E-2</v>
      </c>
      <c r="D7" s="2">
        <f t="shared" si="0"/>
        <v>14.949999999999939</v>
      </c>
    </row>
    <row r="8" spans="1:4" x14ac:dyDescent="0.25">
      <c r="A8" s="1" t="s">
        <v>33</v>
      </c>
      <c r="B8" s="1">
        <v>7.4074074074074181E-3</v>
      </c>
      <c r="D8" s="2">
        <f t="shared" si="0"/>
        <v>10.666666666666682</v>
      </c>
    </row>
    <row r="9" spans="1:4" x14ac:dyDescent="0.25">
      <c r="A9" s="1" t="s">
        <v>33</v>
      </c>
      <c r="B9" s="1">
        <v>1.7962962962962958E-2</v>
      </c>
      <c r="D9" s="2">
        <f t="shared" si="0"/>
        <v>25.86666666666666</v>
      </c>
    </row>
    <row r="10" spans="1:4" x14ac:dyDescent="0.25">
      <c r="A10" s="1" t="s">
        <v>33</v>
      </c>
      <c r="B10" s="1">
        <v>1.2685185185185133E-2</v>
      </c>
      <c r="D10" s="2">
        <f t="shared" si="0"/>
        <v>18.266666666666591</v>
      </c>
    </row>
    <row r="11" spans="1:4" x14ac:dyDescent="0.25">
      <c r="A11" s="1" t="s">
        <v>33</v>
      </c>
      <c r="B11" s="1">
        <v>1.5787037037037099E-2</v>
      </c>
      <c r="D11" s="2">
        <f t="shared" si="0"/>
        <v>22.733333333333423</v>
      </c>
    </row>
    <row r="12" spans="1:4" x14ac:dyDescent="0.25">
      <c r="A12" s="1" t="s">
        <v>33</v>
      </c>
      <c r="B12" s="1">
        <v>1.1631944444444375E-2</v>
      </c>
      <c r="D12" s="2">
        <f t="shared" si="0"/>
        <v>16.749999999999901</v>
      </c>
    </row>
    <row r="13" spans="1:4" x14ac:dyDescent="0.25">
      <c r="A13" s="1" t="s">
        <v>33</v>
      </c>
      <c r="B13" s="1">
        <v>1.0254629629629641E-2</v>
      </c>
      <c r="D13" s="2">
        <f t="shared" si="0"/>
        <v>14.766666666666683</v>
      </c>
    </row>
    <row r="14" spans="1:4" x14ac:dyDescent="0.25">
      <c r="A14" s="1" t="s">
        <v>33</v>
      </c>
      <c r="B14" s="1">
        <v>1.2824074074074043E-2</v>
      </c>
      <c r="D14" s="2">
        <f t="shared" si="0"/>
        <v>18.466666666666622</v>
      </c>
    </row>
    <row r="15" spans="1:4" x14ac:dyDescent="0.25">
      <c r="A15" s="1" t="s">
        <v>33</v>
      </c>
      <c r="B15" s="1">
        <v>7.7546296296296946E-3</v>
      </c>
      <c r="D15" s="2">
        <f t="shared" si="0"/>
        <v>11.16666666666676</v>
      </c>
    </row>
    <row r="16" spans="1:4" x14ac:dyDescent="0.25">
      <c r="A16" s="1" t="s">
        <v>33</v>
      </c>
      <c r="B16" s="1">
        <v>1.6712962962962985E-2</v>
      </c>
      <c r="D16" s="2">
        <f t="shared" si="0"/>
        <v>24.066666666666698</v>
      </c>
    </row>
    <row r="17" spans="1:4" x14ac:dyDescent="0.25">
      <c r="A17" s="1" t="s">
        <v>33</v>
      </c>
      <c r="B17" s="1">
        <v>3.8287037037037064E-2</v>
      </c>
      <c r="D17" s="2">
        <f t="shared" si="0"/>
        <v>55.133333333333368</v>
      </c>
    </row>
    <row r="18" spans="1:4" x14ac:dyDescent="0.25">
      <c r="A18" s="1" t="s">
        <v>33</v>
      </c>
      <c r="B18" s="1">
        <v>1.6550925925925886E-2</v>
      </c>
      <c r="D18" s="2">
        <f t="shared" si="0"/>
        <v>23.833333333333275</v>
      </c>
    </row>
    <row r="19" spans="1:4" x14ac:dyDescent="0.25">
      <c r="A19" s="1" t="s">
        <v>33</v>
      </c>
      <c r="B19" s="1">
        <v>1.1331018518518476E-2</v>
      </c>
      <c r="D19" s="2">
        <f t="shared" si="0"/>
        <v>16.316666666666606</v>
      </c>
    </row>
    <row r="20" spans="1:4" x14ac:dyDescent="0.25">
      <c r="A20" s="1" t="s">
        <v>33</v>
      </c>
      <c r="B20" s="1">
        <v>1.2835648148148193E-2</v>
      </c>
      <c r="D20" s="2">
        <f t="shared" si="0"/>
        <v>18.483333333333398</v>
      </c>
    </row>
    <row r="21" spans="1:4" x14ac:dyDescent="0.25">
      <c r="A21" s="1" t="s">
        <v>33</v>
      </c>
      <c r="B21" s="1">
        <v>1.1805555555555625E-2</v>
      </c>
      <c r="D21" s="2">
        <f t="shared" si="0"/>
        <v>17.000000000000099</v>
      </c>
    </row>
    <row r="22" spans="1:4" x14ac:dyDescent="0.25">
      <c r="A22" s="1" t="s">
        <v>33</v>
      </c>
      <c r="B22" s="1">
        <v>7.9861111111111382E-3</v>
      </c>
      <c r="D22" s="2">
        <f t="shared" si="0"/>
        <v>11.500000000000039</v>
      </c>
    </row>
    <row r="23" spans="1:4" x14ac:dyDescent="0.25">
      <c r="A23" s="1" t="s">
        <v>33</v>
      </c>
      <c r="B23" s="1">
        <v>1.1319444444444438E-2</v>
      </c>
      <c r="D23" s="2">
        <f t="shared" si="0"/>
        <v>16.29999999999999</v>
      </c>
    </row>
    <row r="24" spans="1:4" x14ac:dyDescent="0.25">
      <c r="A24" s="1" t="s">
        <v>33</v>
      </c>
      <c r="B24" s="1">
        <v>7.8819444444444553E-3</v>
      </c>
      <c r="D24" s="2">
        <f t="shared" si="0"/>
        <v>11.350000000000016</v>
      </c>
    </row>
    <row r="25" spans="1:4" x14ac:dyDescent="0.25">
      <c r="A25" s="1" t="s">
        <v>33</v>
      </c>
      <c r="B25" s="1">
        <v>4.1157407407407476E-2</v>
      </c>
      <c r="D25" s="2">
        <f t="shared" si="0"/>
        <v>59.266666666666765</v>
      </c>
    </row>
    <row r="26" spans="1:4" x14ac:dyDescent="0.25">
      <c r="A26" s="1" t="s">
        <v>33</v>
      </c>
      <c r="B26" s="1">
        <v>6.0879629629629894E-3</v>
      </c>
      <c r="D26" s="2">
        <f t="shared" si="0"/>
        <v>8.7666666666667048</v>
      </c>
    </row>
    <row r="27" spans="1:4" x14ac:dyDescent="0.25">
      <c r="A27" s="1" t="s">
        <v>33</v>
      </c>
      <c r="B27" s="1">
        <v>1.8263888888888857E-2</v>
      </c>
      <c r="D27" s="2">
        <f t="shared" si="0"/>
        <v>26.299999999999955</v>
      </c>
    </row>
    <row r="28" spans="1:4" x14ac:dyDescent="0.25">
      <c r="A28" s="1" t="s">
        <v>33</v>
      </c>
      <c r="B28" s="1">
        <v>1.853009259259264E-2</v>
      </c>
      <c r="D28" s="2">
        <f t="shared" si="0"/>
        <v>26.683333333333401</v>
      </c>
    </row>
    <row r="29" spans="1:4" x14ac:dyDescent="0.25">
      <c r="A29" s="1" t="s">
        <v>33</v>
      </c>
      <c r="B29" s="1">
        <v>8.0902777777778212E-3</v>
      </c>
      <c r="D29" s="2">
        <f t="shared" si="0"/>
        <v>11.650000000000063</v>
      </c>
    </row>
    <row r="30" spans="1:4" x14ac:dyDescent="0.25">
      <c r="A30" s="1" t="s">
        <v>33</v>
      </c>
      <c r="B30" s="1">
        <v>2.2002314814814794E-2</v>
      </c>
      <c r="D30" s="2">
        <f t="shared" si="0"/>
        <v>31.683333333333302</v>
      </c>
    </row>
    <row r="31" spans="1:4" x14ac:dyDescent="0.25">
      <c r="A31" s="1" t="s">
        <v>33</v>
      </c>
      <c r="B31" s="1">
        <v>9.2824074074073781E-3</v>
      </c>
      <c r="D31" s="2">
        <f t="shared" si="0"/>
        <v>13.366666666666625</v>
      </c>
    </row>
    <row r="32" spans="1:4" x14ac:dyDescent="0.25">
      <c r="A32" s="1" t="s">
        <v>33</v>
      </c>
      <c r="B32" s="1">
        <v>1.4340277777777799E-2</v>
      </c>
      <c r="D32" s="2">
        <f t="shared" si="0"/>
        <v>20.650000000000031</v>
      </c>
    </row>
    <row r="33" spans="1:4" x14ac:dyDescent="0.25">
      <c r="A33" s="1" t="s">
        <v>33</v>
      </c>
      <c r="B33" s="1">
        <v>1.3599537037037035E-2</v>
      </c>
      <c r="D33" s="2">
        <f t="shared" si="0"/>
        <v>19.583333333333329</v>
      </c>
    </row>
    <row r="34" spans="1:4" x14ac:dyDescent="0.25">
      <c r="A34" s="1" t="s">
        <v>33</v>
      </c>
      <c r="B34" s="1">
        <v>1.7291666666666705E-2</v>
      </c>
      <c r="D34" s="2">
        <f t="shared" si="0"/>
        <v>24.900000000000055</v>
      </c>
    </row>
    <row r="35" spans="1:4" x14ac:dyDescent="0.25">
      <c r="A35" s="1" t="s">
        <v>33</v>
      </c>
      <c r="B35" s="1">
        <v>1.8958333333333355E-2</v>
      </c>
      <c r="D35" s="2">
        <f t="shared" si="0"/>
        <v>27.300000000000033</v>
      </c>
    </row>
    <row r="36" spans="1:4" x14ac:dyDescent="0.25">
      <c r="A36" s="1" t="s">
        <v>33</v>
      </c>
      <c r="B36" s="1">
        <v>7.7546296296296946E-3</v>
      </c>
      <c r="D36" s="2">
        <f t="shared" si="0"/>
        <v>11.16666666666676</v>
      </c>
    </row>
    <row r="37" spans="1:4" x14ac:dyDescent="0.25">
      <c r="A37" s="1" t="s">
        <v>33</v>
      </c>
      <c r="B37" s="1">
        <v>1.1782407407407436E-2</v>
      </c>
      <c r="D37" s="2">
        <f t="shared" si="0"/>
        <v>16.966666666666708</v>
      </c>
    </row>
    <row r="38" spans="1:4" x14ac:dyDescent="0.25">
      <c r="A38" s="1" t="s">
        <v>33</v>
      </c>
      <c r="B38" s="1">
        <v>1.8391203703703729E-2</v>
      </c>
      <c r="D38" s="2">
        <f t="shared" si="0"/>
        <v>26.48333333333337</v>
      </c>
    </row>
    <row r="39" spans="1:4" x14ac:dyDescent="0.25">
      <c r="A39" s="1" t="s">
        <v>33</v>
      </c>
      <c r="B39" s="1">
        <v>9.7222222222221877E-3</v>
      </c>
      <c r="D39" s="2">
        <f t="shared" si="0"/>
        <v>13.99999999999995</v>
      </c>
    </row>
    <row r="40" spans="1:4" x14ac:dyDescent="0.25">
      <c r="A40" s="1" t="s">
        <v>33</v>
      </c>
      <c r="B40" s="1">
        <v>9.2824074074073781E-3</v>
      </c>
      <c r="D40" s="2">
        <f t="shared" si="0"/>
        <v>13.366666666666625</v>
      </c>
    </row>
    <row r="41" spans="1:4" x14ac:dyDescent="0.25">
      <c r="A41" s="1" t="s">
        <v>33</v>
      </c>
      <c r="B41" s="1">
        <v>1.5150462962962963E-2</v>
      </c>
      <c r="D41" s="2">
        <f t="shared" si="0"/>
        <v>21.816666666666666</v>
      </c>
    </row>
    <row r="42" spans="1:4" x14ac:dyDescent="0.25">
      <c r="A42" s="1" t="s">
        <v>33</v>
      </c>
      <c r="B42" s="1">
        <v>5.0810185185185541E-3</v>
      </c>
      <c r="D42" s="2">
        <f t="shared" si="0"/>
        <v>7.3166666666667179</v>
      </c>
    </row>
    <row r="43" spans="1:4" x14ac:dyDescent="0.25">
      <c r="A43" s="1" t="s">
        <v>33</v>
      </c>
      <c r="B43" s="1">
        <v>2.2395833333333337E-2</v>
      </c>
      <c r="D43" s="2">
        <f t="shared" si="0"/>
        <v>32.250000000000007</v>
      </c>
    </row>
    <row r="44" spans="1:4" x14ac:dyDescent="0.25">
      <c r="A44" s="1" t="s">
        <v>33</v>
      </c>
      <c r="B44" s="1">
        <v>8.9699074074074403E-3</v>
      </c>
      <c r="D44" s="2">
        <f t="shared" si="0"/>
        <v>12.916666666666714</v>
      </c>
    </row>
    <row r="45" spans="1:4" x14ac:dyDescent="0.25">
      <c r="A45" s="1" t="s">
        <v>33</v>
      </c>
      <c r="B45" s="1">
        <v>1.5763888888888911E-2</v>
      </c>
      <c r="D45" s="2">
        <f t="shared" si="0"/>
        <v>22.700000000000031</v>
      </c>
    </row>
    <row r="46" spans="1:4" x14ac:dyDescent="0.25">
      <c r="A46" s="1" t="s">
        <v>33</v>
      </c>
      <c r="B46" s="1">
        <v>1.4675925925925926E-2</v>
      </c>
      <c r="D46" s="2">
        <f t="shared" si="0"/>
        <v>21.133333333333333</v>
      </c>
    </row>
    <row r="47" spans="1:4" x14ac:dyDescent="0.25">
      <c r="A47" s="1" t="s">
        <v>33</v>
      </c>
      <c r="B47" s="1">
        <v>1.5474537037037051E-2</v>
      </c>
      <c r="D47" s="2">
        <f t="shared" si="0"/>
        <v>22.283333333333353</v>
      </c>
    </row>
    <row r="48" spans="1:4" x14ac:dyDescent="0.25">
      <c r="A48" s="1" t="s">
        <v>33</v>
      </c>
      <c r="B48" s="1">
        <v>1.0428240740740669E-2</v>
      </c>
      <c r="D48" s="2">
        <f t="shared" si="0"/>
        <v>15.016666666666563</v>
      </c>
    </row>
    <row r="49" spans="1:4" x14ac:dyDescent="0.25">
      <c r="A49" s="1" t="s">
        <v>33</v>
      </c>
      <c r="B49" s="1">
        <v>1.6956018518518579E-2</v>
      </c>
      <c r="D49" s="2">
        <f t="shared" si="0"/>
        <v>24.416666666666753</v>
      </c>
    </row>
    <row r="50" spans="1:4" x14ac:dyDescent="0.25">
      <c r="A50" s="1" t="s">
        <v>33</v>
      </c>
      <c r="B50" s="1">
        <v>1.6469907407407391E-2</v>
      </c>
      <c r="D50" s="2">
        <f t="shared" si="0"/>
        <v>23.716666666666644</v>
      </c>
    </row>
    <row r="51" spans="1:4" x14ac:dyDescent="0.25">
      <c r="A51" s="1" t="s">
        <v>33</v>
      </c>
      <c r="B51" s="1">
        <v>6.8055555555555092E-3</v>
      </c>
      <c r="D51" s="2">
        <f t="shared" si="0"/>
        <v>9.7999999999999332</v>
      </c>
    </row>
    <row r="52" spans="1:4" x14ac:dyDescent="0.25">
      <c r="A52" s="1" t="s">
        <v>33</v>
      </c>
      <c r="B52" s="1">
        <v>7.1759259259259744E-3</v>
      </c>
      <c r="D52" s="2">
        <f t="shared" si="0"/>
        <v>10.333333333333403</v>
      </c>
    </row>
    <row r="53" spans="1:4" x14ac:dyDescent="0.25">
      <c r="A53" s="1" t="s">
        <v>33</v>
      </c>
      <c r="B53" s="1">
        <v>1.0104166666666581E-2</v>
      </c>
      <c r="D53" s="2">
        <f t="shared" si="0"/>
        <v>14.549999999999876</v>
      </c>
    </row>
    <row r="54" spans="1:4" x14ac:dyDescent="0.25">
      <c r="A54" s="1" t="s">
        <v>34</v>
      </c>
      <c r="B54" s="1">
        <v>1.4583333333333393E-2</v>
      </c>
      <c r="D54" s="2">
        <f t="shared" si="0"/>
        <v>21.000000000000085</v>
      </c>
    </row>
    <row r="55" spans="1:4" x14ac:dyDescent="0.25">
      <c r="A55" s="1" t="s">
        <v>34</v>
      </c>
      <c r="B55" s="1">
        <v>2.5590277777777781E-2</v>
      </c>
      <c r="D55" s="2">
        <f t="shared" si="0"/>
        <v>36.850000000000009</v>
      </c>
    </row>
    <row r="56" spans="1:4" x14ac:dyDescent="0.25">
      <c r="A56" s="1" t="s">
        <v>34</v>
      </c>
      <c r="B56" s="1">
        <v>1.5821759259259327E-2</v>
      </c>
      <c r="D56" s="2">
        <f t="shared" si="0"/>
        <v>22.783333333333431</v>
      </c>
    </row>
    <row r="57" spans="1:4" x14ac:dyDescent="0.25">
      <c r="A57" s="1" t="s">
        <v>34</v>
      </c>
      <c r="B57" s="1">
        <v>8.4837962962963642E-3</v>
      </c>
      <c r="D57" s="2">
        <f t="shared" si="0"/>
        <v>12.216666666666764</v>
      </c>
    </row>
    <row r="58" spans="1:4" x14ac:dyDescent="0.25">
      <c r="A58" s="1" t="s">
        <v>34</v>
      </c>
      <c r="B58" s="1">
        <v>1.2581018518518561E-2</v>
      </c>
      <c r="D58" s="2">
        <f t="shared" si="0"/>
        <v>18.116666666666728</v>
      </c>
    </row>
    <row r="59" spans="1:4" x14ac:dyDescent="0.25">
      <c r="A59" s="1" t="s">
        <v>34</v>
      </c>
      <c r="B59" s="1">
        <v>9.6643518518518823E-3</v>
      </c>
      <c r="D59" s="2">
        <f t="shared" si="0"/>
        <v>13.91666666666671</v>
      </c>
    </row>
    <row r="60" spans="1:4" x14ac:dyDescent="0.25">
      <c r="A60" s="1" t="s">
        <v>34</v>
      </c>
      <c r="B60" s="1">
        <v>6.423611111111116E-3</v>
      </c>
      <c r="D60" s="2">
        <f t="shared" si="0"/>
        <v>9.2500000000000071</v>
      </c>
    </row>
    <row r="61" spans="1:4" x14ac:dyDescent="0.25">
      <c r="A61" s="1" t="s">
        <v>34</v>
      </c>
      <c r="B61" s="1">
        <v>8.3796296296296813E-3</v>
      </c>
      <c r="D61" s="2">
        <f t="shared" si="0"/>
        <v>12.066666666666741</v>
      </c>
    </row>
    <row r="62" spans="1:4" x14ac:dyDescent="0.25">
      <c r="A62" s="1" t="s">
        <v>34</v>
      </c>
      <c r="B62" s="1">
        <v>9.4328703703703276E-3</v>
      </c>
      <c r="D62" s="2">
        <f t="shared" si="0"/>
        <v>13.583333333333272</v>
      </c>
    </row>
    <row r="63" spans="1:4" x14ac:dyDescent="0.25">
      <c r="A63" s="1" t="s">
        <v>34</v>
      </c>
      <c r="B63" s="1">
        <v>1.1435185185185159E-2</v>
      </c>
      <c r="D63" s="2">
        <f t="shared" si="0"/>
        <v>16.466666666666629</v>
      </c>
    </row>
    <row r="64" spans="1:4" x14ac:dyDescent="0.25">
      <c r="A64" s="1" t="s">
        <v>34</v>
      </c>
      <c r="B64" s="1">
        <v>1.722222222222225E-2</v>
      </c>
      <c r="D64" s="2">
        <f t="shared" si="0"/>
        <v>24.80000000000004</v>
      </c>
    </row>
    <row r="65" spans="1:4" x14ac:dyDescent="0.25">
      <c r="A65" s="1" t="s">
        <v>34</v>
      </c>
      <c r="B65" s="1">
        <v>1.2418981481481461E-2</v>
      </c>
      <c r="D65" s="2">
        <f t="shared" si="0"/>
        <v>17.883333333333304</v>
      </c>
    </row>
    <row r="66" spans="1:4" x14ac:dyDescent="0.25">
      <c r="A66" s="1" t="s">
        <v>34</v>
      </c>
      <c r="B66" s="1">
        <v>8.4606481481481755E-3</v>
      </c>
      <c r="D66" s="2">
        <f t="shared" si="0"/>
        <v>12.183333333333373</v>
      </c>
    </row>
    <row r="67" spans="1:4" x14ac:dyDescent="0.25">
      <c r="A67" s="1" t="s">
        <v>34</v>
      </c>
      <c r="B67" s="1">
        <v>7.9282407407407218E-3</v>
      </c>
      <c r="D67" s="2">
        <f t="shared" ref="D67:D130" si="1">B67*1440</f>
        <v>11.416666666666639</v>
      </c>
    </row>
    <row r="68" spans="1:4" x14ac:dyDescent="0.25">
      <c r="A68" s="1" t="s">
        <v>34</v>
      </c>
      <c r="B68" s="1">
        <v>9.1782407407408062E-3</v>
      </c>
      <c r="D68" s="2">
        <f t="shared" si="1"/>
        <v>13.216666666666761</v>
      </c>
    </row>
    <row r="69" spans="1:4" x14ac:dyDescent="0.25">
      <c r="A69" s="1" t="s">
        <v>34</v>
      </c>
      <c r="B69" s="1">
        <v>3.2523148148148051E-2</v>
      </c>
      <c r="D69" s="2">
        <f t="shared" si="1"/>
        <v>46.833333333333194</v>
      </c>
    </row>
    <row r="70" spans="1:4" x14ac:dyDescent="0.25">
      <c r="A70" s="1" t="s">
        <v>34</v>
      </c>
      <c r="B70" s="1">
        <v>1.0972222222222272E-2</v>
      </c>
      <c r="D70" s="2">
        <f t="shared" si="1"/>
        <v>15.800000000000072</v>
      </c>
    </row>
    <row r="71" spans="1:4" x14ac:dyDescent="0.25">
      <c r="A71" s="1" t="s">
        <v>34</v>
      </c>
      <c r="B71" s="1">
        <v>1.0219907407407414E-2</v>
      </c>
      <c r="D71" s="2">
        <f t="shared" si="1"/>
        <v>14.716666666666676</v>
      </c>
    </row>
    <row r="72" spans="1:4" x14ac:dyDescent="0.25">
      <c r="A72" s="1" t="s">
        <v>34</v>
      </c>
      <c r="B72" s="1">
        <v>1.0254629629629641E-2</v>
      </c>
      <c r="D72" s="2">
        <f t="shared" si="1"/>
        <v>14.766666666666683</v>
      </c>
    </row>
    <row r="73" spans="1:4" x14ac:dyDescent="0.25">
      <c r="A73" s="1" t="s">
        <v>34</v>
      </c>
      <c r="B73" s="1">
        <v>2.0474537037037055E-2</v>
      </c>
      <c r="D73" s="2">
        <f t="shared" si="1"/>
        <v>29.483333333333359</v>
      </c>
    </row>
    <row r="74" spans="1:4" x14ac:dyDescent="0.25">
      <c r="A74" s="1" t="s">
        <v>34</v>
      </c>
      <c r="B74" s="1">
        <v>3.1273148148148189E-2</v>
      </c>
      <c r="D74" s="2">
        <f t="shared" si="1"/>
        <v>45.033333333333388</v>
      </c>
    </row>
    <row r="75" spans="1:4" x14ac:dyDescent="0.25">
      <c r="A75" s="1" t="s">
        <v>34</v>
      </c>
      <c r="B75" s="1">
        <v>1.3125000000000053E-2</v>
      </c>
      <c r="D75" s="2">
        <f t="shared" si="1"/>
        <v>18.900000000000077</v>
      </c>
    </row>
    <row r="76" spans="1:4" x14ac:dyDescent="0.25">
      <c r="A76" s="1" t="s">
        <v>34</v>
      </c>
      <c r="B76" s="1">
        <v>1.1192129629629677E-2</v>
      </c>
      <c r="D76" s="2">
        <f t="shared" si="1"/>
        <v>16.116666666666735</v>
      </c>
    </row>
    <row r="77" spans="1:4" x14ac:dyDescent="0.25">
      <c r="A77" s="1" t="s">
        <v>34</v>
      </c>
      <c r="B77" s="1">
        <v>1.5000000000000013E-2</v>
      </c>
      <c r="D77" s="2">
        <f t="shared" si="1"/>
        <v>21.600000000000019</v>
      </c>
    </row>
    <row r="78" spans="1:4" x14ac:dyDescent="0.25">
      <c r="A78" s="1" t="s">
        <v>34</v>
      </c>
      <c r="B78" s="1">
        <v>1.4409722222222254E-2</v>
      </c>
      <c r="D78" s="2">
        <f t="shared" si="1"/>
        <v>20.750000000000046</v>
      </c>
    </row>
    <row r="79" spans="1:4" x14ac:dyDescent="0.25">
      <c r="A79" s="1" t="s">
        <v>34</v>
      </c>
      <c r="B79" s="1">
        <v>1.5011574074074052E-2</v>
      </c>
      <c r="D79" s="2">
        <f t="shared" si="1"/>
        <v>21.616666666666635</v>
      </c>
    </row>
    <row r="80" spans="1:4" x14ac:dyDescent="0.25">
      <c r="A80" s="1" t="s">
        <v>34</v>
      </c>
      <c r="B80" s="1">
        <v>2.690972222222221E-2</v>
      </c>
      <c r="D80" s="2">
        <f t="shared" si="1"/>
        <v>38.749999999999986</v>
      </c>
    </row>
    <row r="81" spans="1:4" x14ac:dyDescent="0.25">
      <c r="A81" s="1" t="s">
        <v>34</v>
      </c>
      <c r="B81" s="1">
        <v>1.2395833333333384E-2</v>
      </c>
      <c r="D81" s="2">
        <f t="shared" si="1"/>
        <v>17.850000000000072</v>
      </c>
    </row>
    <row r="82" spans="1:4" x14ac:dyDescent="0.25">
      <c r="A82" s="1" t="s">
        <v>34</v>
      </c>
      <c r="B82" s="1">
        <v>1.1666666666666714E-2</v>
      </c>
      <c r="D82" s="2">
        <f t="shared" si="1"/>
        <v>16.800000000000068</v>
      </c>
    </row>
    <row r="83" spans="1:4" x14ac:dyDescent="0.25">
      <c r="A83" s="1" t="s">
        <v>34</v>
      </c>
      <c r="B83" s="1">
        <v>9.1550925925926174E-3</v>
      </c>
      <c r="D83" s="2">
        <f t="shared" si="1"/>
        <v>13.183333333333369</v>
      </c>
    </row>
    <row r="84" spans="1:4" x14ac:dyDescent="0.25">
      <c r="A84" s="1" t="s">
        <v>34</v>
      </c>
      <c r="B84" s="1">
        <v>1.0324074074074097E-2</v>
      </c>
      <c r="D84" s="2">
        <f t="shared" si="1"/>
        <v>14.866666666666699</v>
      </c>
    </row>
    <row r="85" spans="1:4" x14ac:dyDescent="0.25">
      <c r="A85" s="1" t="s">
        <v>34</v>
      </c>
      <c r="B85" s="1">
        <v>1.6307870370370403E-2</v>
      </c>
      <c r="D85" s="2">
        <f t="shared" si="1"/>
        <v>23.48333333333338</v>
      </c>
    </row>
    <row r="86" spans="1:4" x14ac:dyDescent="0.25">
      <c r="A86" s="1" t="s">
        <v>34</v>
      </c>
      <c r="B86" s="1">
        <v>1.3773148148148173E-2</v>
      </c>
      <c r="D86" s="2">
        <f t="shared" si="1"/>
        <v>19.833333333333371</v>
      </c>
    </row>
    <row r="87" spans="1:4" x14ac:dyDescent="0.25">
      <c r="A87" s="1" t="s">
        <v>34</v>
      </c>
      <c r="B87" s="1">
        <v>2.0277777777777783E-2</v>
      </c>
      <c r="D87" s="2">
        <f t="shared" si="1"/>
        <v>29.20000000000001</v>
      </c>
    </row>
    <row r="88" spans="1:4" x14ac:dyDescent="0.25">
      <c r="A88" s="1" t="s">
        <v>34</v>
      </c>
      <c r="B88" s="1">
        <v>1.6921296296296351E-2</v>
      </c>
      <c r="D88" s="2">
        <f t="shared" si="1"/>
        <v>24.366666666666745</v>
      </c>
    </row>
    <row r="89" spans="1:4" x14ac:dyDescent="0.25">
      <c r="A89" s="1" t="s">
        <v>34</v>
      </c>
      <c r="B89" s="1">
        <v>1.8726851851851856E-2</v>
      </c>
      <c r="D89" s="2">
        <f t="shared" si="1"/>
        <v>26.966666666666672</v>
      </c>
    </row>
    <row r="90" spans="1:4" x14ac:dyDescent="0.25">
      <c r="A90" s="1" t="s">
        <v>34</v>
      </c>
      <c r="B90" s="1">
        <v>1.8032407407407414E-2</v>
      </c>
      <c r="D90" s="2">
        <f t="shared" si="1"/>
        <v>25.966666666666676</v>
      </c>
    </row>
    <row r="91" spans="1:4" x14ac:dyDescent="0.25">
      <c r="A91" s="1" t="s">
        <v>34</v>
      </c>
      <c r="B91" s="1">
        <v>8.9814814814814792E-3</v>
      </c>
      <c r="D91" s="2">
        <f t="shared" si="1"/>
        <v>12.93333333333333</v>
      </c>
    </row>
    <row r="92" spans="1:4" x14ac:dyDescent="0.25">
      <c r="A92" s="1" t="s">
        <v>34</v>
      </c>
      <c r="B92" s="1">
        <v>2.5138888888888822E-2</v>
      </c>
      <c r="D92" s="2">
        <f t="shared" si="1"/>
        <v>36.199999999999903</v>
      </c>
    </row>
    <row r="93" spans="1:4" x14ac:dyDescent="0.25">
      <c r="A93" s="1" t="s">
        <v>34</v>
      </c>
      <c r="B93" s="1">
        <v>1.8113425925925908E-2</v>
      </c>
      <c r="D93" s="2">
        <f t="shared" si="1"/>
        <v>26.083333333333307</v>
      </c>
    </row>
    <row r="94" spans="1:4" x14ac:dyDescent="0.25">
      <c r="A94" s="1" t="s">
        <v>34</v>
      </c>
      <c r="B94" s="1">
        <v>1.6469907407407391E-2</v>
      </c>
      <c r="D94" s="2">
        <f t="shared" si="1"/>
        <v>23.716666666666644</v>
      </c>
    </row>
    <row r="95" spans="1:4" x14ac:dyDescent="0.25">
      <c r="A95" s="1" t="s">
        <v>34</v>
      </c>
      <c r="B95" s="1">
        <v>1.40393518518519E-2</v>
      </c>
      <c r="D95" s="2">
        <f t="shared" si="1"/>
        <v>20.216666666666736</v>
      </c>
    </row>
    <row r="96" spans="1:4" x14ac:dyDescent="0.25">
      <c r="A96" s="1" t="s">
        <v>34</v>
      </c>
      <c r="B96" s="1">
        <v>1.5960648148148238E-2</v>
      </c>
      <c r="D96" s="2">
        <f t="shared" si="1"/>
        <v>22.983333333333462</v>
      </c>
    </row>
    <row r="97" spans="1:4" x14ac:dyDescent="0.25">
      <c r="A97" s="1" t="s">
        <v>34</v>
      </c>
      <c r="B97" s="1">
        <v>1.7152777777777795E-2</v>
      </c>
      <c r="D97" s="2">
        <f t="shared" si="1"/>
        <v>24.700000000000024</v>
      </c>
    </row>
    <row r="98" spans="1:4" x14ac:dyDescent="0.25">
      <c r="A98" s="1" t="s">
        <v>34</v>
      </c>
      <c r="B98" s="1">
        <v>1.2789351851851816E-2</v>
      </c>
      <c r="D98" s="2">
        <f t="shared" si="1"/>
        <v>18.416666666666615</v>
      </c>
    </row>
    <row r="99" spans="1:4" x14ac:dyDescent="0.25">
      <c r="A99" s="1" t="s">
        <v>34</v>
      </c>
      <c r="B99" s="1">
        <v>1.214120370370364E-2</v>
      </c>
      <c r="D99" s="2">
        <f t="shared" si="1"/>
        <v>17.483333333333242</v>
      </c>
    </row>
    <row r="100" spans="1:4" x14ac:dyDescent="0.25">
      <c r="A100" s="1" t="s">
        <v>34</v>
      </c>
      <c r="B100" s="1">
        <v>2.0555555555555549E-2</v>
      </c>
      <c r="D100" s="2">
        <f t="shared" si="1"/>
        <v>29.599999999999991</v>
      </c>
    </row>
    <row r="101" spans="1:4" x14ac:dyDescent="0.25">
      <c r="A101" s="1" t="s">
        <v>34</v>
      </c>
      <c r="B101" s="1">
        <v>1.5231481481481457E-2</v>
      </c>
      <c r="D101" s="2">
        <f t="shared" si="1"/>
        <v>21.933333333333298</v>
      </c>
    </row>
    <row r="102" spans="1:4" x14ac:dyDescent="0.25">
      <c r="A102" s="1" t="s">
        <v>34</v>
      </c>
      <c r="B102" s="1">
        <v>1.635416666666667E-2</v>
      </c>
      <c r="D102" s="2">
        <f t="shared" si="1"/>
        <v>23.550000000000004</v>
      </c>
    </row>
    <row r="103" spans="1:4" x14ac:dyDescent="0.25">
      <c r="A103" s="1" t="s">
        <v>34</v>
      </c>
      <c r="B103" s="1">
        <v>2.4351851851851847E-2</v>
      </c>
      <c r="D103" s="2">
        <f t="shared" si="1"/>
        <v>35.066666666666663</v>
      </c>
    </row>
    <row r="104" spans="1:4" x14ac:dyDescent="0.25">
      <c r="A104" s="1" t="s">
        <v>34</v>
      </c>
      <c r="B104" s="1">
        <v>1.2268518518518567E-2</v>
      </c>
      <c r="D104" s="2">
        <f t="shared" si="1"/>
        <v>17.666666666666735</v>
      </c>
    </row>
    <row r="105" spans="1:4" x14ac:dyDescent="0.25">
      <c r="A105" s="1" t="s">
        <v>34</v>
      </c>
      <c r="B105" s="1">
        <v>1.1712962962962981E-2</v>
      </c>
      <c r="D105" s="2">
        <f t="shared" si="1"/>
        <v>16.866666666666692</v>
      </c>
    </row>
    <row r="106" spans="1:4" x14ac:dyDescent="0.25">
      <c r="A106" s="1" t="s">
        <v>34</v>
      </c>
      <c r="B106" s="1">
        <v>8.0902777777777657E-3</v>
      </c>
      <c r="D106" s="2">
        <f t="shared" si="1"/>
        <v>11.649999999999983</v>
      </c>
    </row>
    <row r="107" spans="1:4" x14ac:dyDescent="0.25">
      <c r="A107" s="1" t="s">
        <v>34</v>
      </c>
      <c r="B107" s="1">
        <v>7.9629629629629495E-3</v>
      </c>
      <c r="D107" s="2">
        <f t="shared" si="1"/>
        <v>11.466666666666647</v>
      </c>
    </row>
    <row r="108" spans="1:4" x14ac:dyDescent="0.25">
      <c r="A108" s="1" t="s">
        <v>34</v>
      </c>
      <c r="B108" s="1">
        <v>8.7037037037037135E-3</v>
      </c>
      <c r="D108" s="2">
        <f t="shared" si="1"/>
        <v>12.533333333333347</v>
      </c>
    </row>
    <row r="109" spans="1:4" x14ac:dyDescent="0.25">
      <c r="A109" s="1" t="s">
        <v>34</v>
      </c>
      <c r="B109" s="1">
        <v>8.055555555555538E-3</v>
      </c>
      <c r="D109" s="2">
        <f t="shared" si="1"/>
        <v>11.599999999999975</v>
      </c>
    </row>
    <row r="110" spans="1:4" x14ac:dyDescent="0.25">
      <c r="A110" s="1" t="s">
        <v>34</v>
      </c>
      <c r="B110" s="1">
        <v>1.6145833333333415E-2</v>
      </c>
      <c r="D110" s="2">
        <f t="shared" si="1"/>
        <v>23.250000000000117</v>
      </c>
    </row>
    <row r="111" spans="1:4" x14ac:dyDescent="0.25">
      <c r="A111" s="1" t="s">
        <v>34</v>
      </c>
      <c r="B111" s="1">
        <v>1.1712962962962981E-2</v>
      </c>
      <c r="D111" s="2">
        <f t="shared" si="1"/>
        <v>16.866666666666692</v>
      </c>
    </row>
    <row r="112" spans="1:4" x14ac:dyDescent="0.25">
      <c r="A112" s="1" t="s">
        <v>34</v>
      </c>
      <c r="B112" s="1">
        <v>7.2569444444444686E-3</v>
      </c>
      <c r="D112" s="2">
        <f t="shared" si="1"/>
        <v>10.450000000000035</v>
      </c>
    </row>
    <row r="113" spans="1:4" x14ac:dyDescent="0.25">
      <c r="A113" s="1" t="s">
        <v>34</v>
      </c>
      <c r="B113" s="1">
        <v>7.9861111111110272E-3</v>
      </c>
      <c r="D113" s="2">
        <f t="shared" si="1"/>
        <v>11.499999999999879</v>
      </c>
    </row>
    <row r="114" spans="1:4" x14ac:dyDescent="0.25">
      <c r="A114" s="1" t="s">
        <v>34</v>
      </c>
      <c r="B114" s="1">
        <v>9.5138888888888218E-3</v>
      </c>
      <c r="D114" s="2">
        <f t="shared" si="1"/>
        <v>13.699999999999903</v>
      </c>
    </row>
    <row r="115" spans="1:4" x14ac:dyDescent="0.25">
      <c r="A115" s="1" t="s">
        <v>34</v>
      </c>
      <c r="B115" s="1">
        <v>1.2893518518518499E-2</v>
      </c>
      <c r="D115" s="2">
        <f t="shared" si="1"/>
        <v>18.566666666666638</v>
      </c>
    </row>
    <row r="116" spans="1:4" x14ac:dyDescent="0.25">
      <c r="A116" s="1" t="s">
        <v>34</v>
      </c>
      <c r="B116" s="1">
        <v>1.4016203703703711E-2</v>
      </c>
      <c r="D116" s="2">
        <f t="shared" si="1"/>
        <v>20.183333333333344</v>
      </c>
    </row>
    <row r="117" spans="1:4" x14ac:dyDescent="0.25">
      <c r="A117" s="1" t="s">
        <v>34</v>
      </c>
      <c r="B117" s="1">
        <v>1.216435185185194E-2</v>
      </c>
      <c r="D117" s="2">
        <f t="shared" si="1"/>
        <v>17.516666666666794</v>
      </c>
    </row>
    <row r="118" spans="1:4" x14ac:dyDescent="0.25">
      <c r="A118" s="1" t="s">
        <v>34</v>
      </c>
      <c r="B118" s="1">
        <v>8.8078703703703409E-3</v>
      </c>
      <c r="D118" s="2">
        <f t="shared" si="1"/>
        <v>12.683333333333291</v>
      </c>
    </row>
    <row r="119" spans="1:4" x14ac:dyDescent="0.25">
      <c r="A119" s="1" t="s">
        <v>34</v>
      </c>
      <c r="B119" s="1">
        <v>8.6458333333332416E-3</v>
      </c>
      <c r="D119" s="2">
        <f t="shared" si="1"/>
        <v>12.449999999999868</v>
      </c>
    </row>
    <row r="120" spans="1:4" x14ac:dyDescent="0.25">
      <c r="A120" s="1" t="s">
        <v>34</v>
      </c>
      <c r="B120" s="1">
        <v>9.2592592592593004E-3</v>
      </c>
      <c r="D120" s="2">
        <f t="shared" si="1"/>
        <v>13.333333333333393</v>
      </c>
    </row>
    <row r="121" spans="1:4" x14ac:dyDescent="0.25">
      <c r="A121" s="1" t="s">
        <v>34</v>
      </c>
      <c r="B121" s="1">
        <v>8.3333333333333592E-3</v>
      </c>
      <c r="D121" s="2">
        <f t="shared" si="1"/>
        <v>12.000000000000037</v>
      </c>
    </row>
    <row r="122" spans="1:4" x14ac:dyDescent="0.25">
      <c r="A122" s="1" t="s">
        <v>34</v>
      </c>
      <c r="B122" s="1">
        <v>7.2685185185185075E-3</v>
      </c>
      <c r="D122" s="2">
        <f t="shared" si="1"/>
        <v>10.466666666666651</v>
      </c>
    </row>
    <row r="123" spans="1:4" x14ac:dyDescent="0.25">
      <c r="A123" s="1" t="s">
        <v>34</v>
      </c>
      <c r="B123" s="1">
        <v>9.6412037037036935E-3</v>
      </c>
      <c r="D123" s="2">
        <f t="shared" si="1"/>
        <v>13.883333333333319</v>
      </c>
    </row>
    <row r="124" spans="1:4" x14ac:dyDescent="0.25">
      <c r="A124" s="1" t="s">
        <v>34</v>
      </c>
      <c r="B124" s="1">
        <v>1.6273148148148175E-2</v>
      </c>
      <c r="D124" s="2">
        <f t="shared" si="1"/>
        <v>23.433333333333373</v>
      </c>
    </row>
    <row r="125" spans="1:4" x14ac:dyDescent="0.25">
      <c r="A125" s="1" t="s">
        <v>34</v>
      </c>
      <c r="B125" s="1">
        <v>1.7407407407407427E-2</v>
      </c>
      <c r="D125" s="2">
        <f t="shared" si="1"/>
        <v>25.066666666666695</v>
      </c>
    </row>
    <row r="126" spans="1:4" x14ac:dyDescent="0.25">
      <c r="A126" s="1" t="s">
        <v>34</v>
      </c>
      <c r="B126" s="1">
        <v>2.9143518518518485E-2</v>
      </c>
      <c r="D126" s="2">
        <f t="shared" si="1"/>
        <v>41.966666666666619</v>
      </c>
    </row>
    <row r="127" spans="1:4" x14ac:dyDescent="0.25">
      <c r="A127" s="1" t="s">
        <v>34</v>
      </c>
      <c r="B127" s="1">
        <v>6.6319444444443709E-3</v>
      </c>
      <c r="D127" s="2">
        <f t="shared" si="1"/>
        <v>9.5499999999998941</v>
      </c>
    </row>
    <row r="128" spans="1:4" x14ac:dyDescent="0.25">
      <c r="A128" s="1" t="s">
        <v>34</v>
      </c>
      <c r="B128" s="1">
        <v>9.3402777777777946E-3</v>
      </c>
      <c r="D128" s="2">
        <f t="shared" si="1"/>
        <v>13.450000000000024</v>
      </c>
    </row>
    <row r="129" spans="1:4" x14ac:dyDescent="0.25">
      <c r="A129" s="1" t="s">
        <v>34</v>
      </c>
      <c r="B129" s="1">
        <v>2.4398148148148224E-2</v>
      </c>
      <c r="D129" s="2">
        <f t="shared" si="1"/>
        <v>35.133333333333439</v>
      </c>
    </row>
    <row r="130" spans="1:4" x14ac:dyDescent="0.25">
      <c r="A130" s="1" t="s">
        <v>34</v>
      </c>
      <c r="B130" s="1">
        <v>1.9687499999999969E-2</v>
      </c>
      <c r="D130" s="2">
        <f t="shared" si="1"/>
        <v>28.349999999999955</v>
      </c>
    </row>
    <row r="131" spans="1:4" x14ac:dyDescent="0.25">
      <c r="A131" s="1" t="s">
        <v>34</v>
      </c>
      <c r="B131" s="1">
        <v>1.026620370370368E-2</v>
      </c>
      <c r="D131" s="2">
        <f t="shared" ref="D131:D194" si="2">B131*1440</f>
        <v>14.783333333333299</v>
      </c>
    </row>
    <row r="132" spans="1:4" x14ac:dyDescent="0.25">
      <c r="A132" s="1" t="s">
        <v>34</v>
      </c>
      <c r="B132" s="1">
        <v>8.2870370370370372E-3</v>
      </c>
      <c r="D132" s="2">
        <f t="shared" si="2"/>
        <v>11.933333333333334</v>
      </c>
    </row>
    <row r="133" spans="1:4" x14ac:dyDescent="0.25">
      <c r="A133" s="1" t="s">
        <v>34</v>
      </c>
      <c r="B133" s="1">
        <v>1.3414351851851858E-2</v>
      </c>
      <c r="D133" s="2">
        <f t="shared" si="2"/>
        <v>19.316666666666677</v>
      </c>
    </row>
    <row r="134" spans="1:4" x14ac:dyDescent="0.25">
      <c r="A134" s="1" t="s">
        <v>34</v>
      </c>
      <c r="B134" s="1">
        <v>1.0393518518518496E-2</v>
      </c>
      <c r="D134" s="2">
        <f t="shared" si="2"/>
        <v>14.966666666666635</v>
      </c>
    </row>
    <row r="135" spans="1:4" x14ac:dyDescent="0.25">
      <c r="A135" s="1" t="s">
        <v>34</v>
      </c>
      <c r="B135" s="1">
        <v>1.1238425925925943E-2</v>
      </c>
      <c r="D135" s="2">
        <f t="shared" si="2"/>
        <v>16.183333333333358</v>
      </c>
    </row>
    <row r="136" spans="1:4" x14ac:dyDescent="0.25">
      <c r="A136" s="1" t="s">
        <v>34</v>
      </c>
      <c r="B136" s="1">
        <v>6.4930555555555713E-3</v>
      </c>
      <c r="D136" s="2">
        <f t="shared" si="2"/>
        <v>9.3500000000000227</v>
      </c>
    </row>
    <row r="137" spans="1:4" x14ac:dyDescent="0.25">
      <c r="A137" s="1" t="s">
        <v>34</v>
      </c>
      <c r="B137" s="1">
        <v>8.8425925925926241E-3</v>
      </c>
      <c r="D137" s="2">
        <f t="shared" si="2"/>
        <v>12.733333333333379</v>
      </c>
    </row>
    <row r="138" spans="1:4" x14ac:dyDescent="0.25">
      <c r="A138" s="1" t="s">
        <v>34</v>
      </c>
      <c r="B138" s="1">
        <v>1.1319444444444438E-2</v>
      </c>
      <c r="D138" s="2">
        <f t="shared" si="2"/>
        <v>16.29999999999999</v>
      </c>
    </row>
    <row r="139" spans="1:4" x14ac:dyDescent="0.25">
      <c r="A139" s="1" t="s">
        <v>34</v>
      </c>
      <c r="B139" s="1">
        <v>2.5196759259259238E-2</v>
      </c>
      <c r="D139" s="2">
        <f t="shared" si="2"/>
        <v>36.283333333333303</v>
      </c>
    </row>
    <row r="140" spans="1:4" x14ac:dyDescent="0.25">
      <c r="A140" s="1" t="s">
        <v>34</v>
      </c>
      <c r="B140" s="1">
        <v>2.7974537037037062E-2</v>
      </c>
      <c r="D140" s="2">
        <f t="shared" si="2"/>
        <v>40.283333333333367</v>
      </c>
    </row>
    <row r="141" spans="1:4" x14ac:dyDescent="0.25">
      <c r="A141" s="1" t="s">
        <v>34</v>
      </c>
      <c r="B141" s="1">
        <v>1.5196759259259229E-2</v>
      </c>
      <c r="D141" s="2">
        <f t="shared" si="2"/>
        <v>21.88333333333329</v>
      </c>
    </row>
    <row r="142" spans="1:4" x14ac:dyDescent="0.25">
      <c r="A142" s="1" t="s">
        <v>34</v>
      </c>
      <c r="B142" s="1">
        <v>1.815972222222223E-2</v>
      </c>
      <c r="D142" s="2">
        <f t="shared" si="2"/>
        <v>26.150000000000013</v>
      </c>
    </row>
    <row r="143" spans="1:4" x14ac:dyDescent="0.25">
      <c r="A143" s="1" t="s">
        <v>34</v>
      </c>
      <c r="B143" s="1">
        <v>3.3240740740740793E-2</v>
      </c>
      <c r="D143" s="2">
        <f t="shared" si="2"/>
        <v>47.866666666666745</v>
      </c>
    </row>
    <row r="144" spans="1:4" x14ac:dyDescent="0.25">
      <c r="A144" s="1" t="s">
        <v>34</v>
      </c>
      <c r="B144" s="1">
        <v>1.6655092592592569E-2</v>
      </c>
      <c r="D144" s="2">
        <f t="shared" si="2"/>
        <v>23.983333333333299</v>
      </c>
    </row>
    <row r="145" spans="1:4" x14ac:dyDescent="0.25">
      <c r="A145" s="1" t="s">
        <v>34</v>
      </c>
      <c r="B145" s="1">
        <v>9.7569444444444153E-3</v>
      </c>
      <c r="D145" s="2">
        <f t="shared" si="2"/>
        <v>14.049999999999958</v>
      </c>
    </row>
    <row r="146" spans="1:4" x14ac:dyDescent="0.25">
      <c r="A146" s="1" t="s">
        <v>34</v>
      </c>
      <c r="B146" s="1">
        <v>5.4745370370370416E-3</v>
      </c>
      <c r="D146" s="2">
        <f t="shared" si="2"/>
        <v>7.88333333333334</v>
      </c>
    </row>
    <row r="147" spans="1:4" x14ac:dyDescent="0.25">
      <c r="A147" s="1" t="s">
        <v>34</v>
      </c>
      <c r="B147" s="1">
        <v>6.4583333333333437E-3</v>
      </c>
      <c r="D147" s="2">
        <f t="shared" si="2"/>
        <v>9.3000000000000149</v>
      </c>
    </row>
    <row r="148" spans="1:4" x14ac:dyDescent="0.25">
      <c r="A148" s="1" t="s">
        <v>34</v>
      </c>
      <c r="B148" s="1">
        <v>6.3657407407406996E-3</v>
      </c>
      <c r="D148" s="2">
        <f t="shared" si="2"/>
        <v>9.1666666666666075</v>
      </c>
    </row>
    <row r="149" spans="1:4" x14ac:dyDescent="0.25">
      <c r="A149" s="1" t="s">
        <v>34</v>
      </c>
      <c r="B149" s="1">
        <v>4.3055555555554514E-3</v>
      </c>
      <c r="D149" s="2">
        <f t="shared" si="2"/>
        <v>6.1999999999998501</v>
      </c>
    </row>
    <row r="150" spans="1:4" x14ac:dyDescent="0.25">
      <c r="A150" s="1" t="s">
        <v>34</v>
      </c>
      <c r="B150" s="1">
        <v>1.2708333333333321E-2</v>
      </c>
      <c r="D150" s="2">
        <f t="shared" si="2"/>
        <v>18.299999999999983</v>
      </c>
    </row>
    <row r="151" spans="1:4" x14ac:dyDescent="0.25">
      <c r="A151" s="1" t="s">
        <v>34</v>
      </c>
      <c r="B151" s="1">
        <v>9.3518518518519445E-3</v>
      </c>
      <c r="D151" s="2">
        <f t="shared" si="2"/>
        <v>13.4666666666668</v>
      </c>
    </row>
    <row r="152" spans="1:4" x14ac:dyDescent="0.25">
      <c r="A152" s="1" t="s">
        <v>34</v>
      </c>
      <c r="B152" s="1">
        <v>1.2407407407407312E-2</v>
      </c>
      <c r="D152" s="2">
        <f t="shared" si="2"/>
        <v>17.866666666666529</v>
      </c>
    </row>
    <row r="153" spans="1:4" x14ac:dyDescent="0.25">
      <c r="A153" s="1" t="s">
        <v>34</v>
      </c>
      <c r="B153" s="1">
        <v>1.2407407407407312E-2</v>
      </c>
      <c r="D153" s="2">
        <f t="shared" si="2"/>
        <v>17.866666666666529</v>
      </c>
    </row>
    <row r="154" spans="1:4" x14ac:dyDescent="0.25">
      <c r="A154" s="1" t="s">
        <v>34</v>
      </c>
      <c r="B154" s="1">
        <v>1.0474537037037046E-2</v>
      </c>
      <c r="D154" s="2">
        <f t="shared" si="2"/>
        <v>15.083333333333346</v>
      </c>
    </row>
    <row r="155" spans="1:4" x14ac:dyDescent="0.25">
      <c r="A155" s="1" t="s">
        <v>34</v>
      </c>
      <c r="B155" s="1">
        <v>8.3333333333333037E-3</v>
      </c>
      <c r="D155" s="2">
        <f t="shared" si="2"/>
        <v>11.999999999999957</v>
      </c>
    </row>
    <row r="156" spans="1:4" x14ac:dyDescent="0.25">
      <c r="A156" s="1" t="s">
        <v>34</v>
      </c>
      <c r="B156" s="1">
        <v>1.2523148148148144E-2</v>
      </c>
      <c r="D156" s="2">
        <f t="shared" si="2"/>
        <v>18.033333333333328</v>
      </c>
    </row>
    <row r="157" spans="1:4" x14ac:dyDescent="0.25">
      <c r="A157" s="1" t="s">
        <v>34</v>
      </c>
      <c r="B157" s="1">
        <v>1.3356481481481497E-2</v>
      </c>
      <c r="D157" s="2">
        <f t="shared" si="2"/>
        <v>19.233333333333356</v>
      </c>
    </row>
    <row r="158" spans="1:4" x14ac:dyDescent="0.25">
      <c r="A158" s="1" t="s">
        <v>34</v>
      </c>
      <c r="B158" s="1">
        <v>1.4560185185185204E-2</v>
      </c>
      <c r="D158" s="2">
        <f t="shared" si="2"/>
        <v>20.966666666666693</v>
      </c>
    </row>
    <row r="159" spans="1:4" x14ac:dyDescent="0.25">
      <c r="A159" s="1" t="s">
        <v>34</v>
      </c>
      <c r="B159" s="1">
        <v>1.1192129629629677E-2</v>
      </c>
      <c r="D159" s="2">
        <f t="shared" si="2"/>
        <v>16.116666666666735</v>
      </c>
    </row>
    <row r="160" spans="1:4" x14ac:dyDescent="0.25">
      <c r="A160" s="1" t="s">
        <v>34</v>
      </c>
      <c r="B160" s="1">
        <v>6.1574074074074447E-3</v>
      </c>
      <c r="D160" s="2">
        <f t="shared" si="2"/>
        <v>8.8666666666667204</v>
      </c>
    </row>
    <row r="161" spans="1:4" x14ac:dyDescent="0.25">
      <c r="A161" s="1" t="s">
        <v>34</v>
      </c>
      <c r="B161" s="1">
        <v>7.1875000000000133E-3</v>
      </c>
      <c r="D161" s="2">
        <f t="shared" si="2"/>
        <v>10.350000000000019</v>
      </c>
    </row>
    <row r="162" spans="1:4" x14ac:dyDescent="0.25">
      <c r="A162" s="1" t="s">
        <v>34</v>
      </c>
      <c r="B162" s="1">
        <v>8.8078703703703409E-3</v>
      </c>
      <c r="D162" s="2">
        <f t="shared" si="2"/>
        <v>12.683333333333291</v>
      </c>
    </row>
    <row r="163" spans="1:4" x14ac:dyDescent="0.25">
      <c r="A163" s="1" t="s">
        <v>34</v>
      </c>
      <c r="B163" s="1">
        <v>3.2499999999999973E-2</v>
      </c>
      <c r="D163" s="2">
        <f t="shared" si="2"/>
        <v>46.799999999999962</v>
      </c>
    </row>
    <row r="164" spans="1:4" x14ac:dyDescent="0.25">
      <c r="A164" s="1" t="s">
        <v>34</v>
      </c>
      <c r="B164" s="1">
        <v>1.3935185185185217E-2</v>
      </c>
      <c r="D164" s="2">
        <f t="shared" si="2"/>
        <v>20.066666666666713</v>
      </c>
    </row>
    <row r="165" spans="1:4" x14ac:dyDescent="0.25">
      <c r="A165" s="1" t="s">
        <v>34</v>
      </c>
      <c r="B165" s="1">
        <v>1.8495370370370412E-2</v>
      </c>
      <c r="D165" s="2">
        <f t="shared" si="2"/>
        <v>26.633333333333393</v>
      </c>
    </row>
    <row r="166" spans="1:4" x14ac:dyDescent="0.25">
      <c r="A166" s="1" t="s">
        <v>34</v>
      </c>
      <c r="B166" s="1">
        <v>1.3807870370370456E-2</v>
      </c>
      <c r="D166" s="2">
        <f t="shared" si="2"/>
        <v>19.883333333333457</v>
      </c>
    </row>
    <row r="167" spans="1:4" x14ac:dyDescent="0.25">
      <c r="A167" s="1" t="s">
        <v>34</v>
      </c>
      <c r="B167" s="1">
        <v>1.6562500000000036E-2</v>
      </c>
      <c r="D167" s="2">
        <f t="shared" si="2"/>
        <v>23.850000000000051</v>
      </c>
    </row>
    <row r="168" spans="1:4" x14ac:dyDescent="0.25">
      <c r="A168" s="1" t="s">
        <v>34</v>
      </c>
      <c r="B168" s="1">
        <v>1.4525462962962976E-2</v>
      </c>
      <c r="D168" s="2">
        <f t="shared" si="2"/>
        <v>20.916666666666686</v>
      </c>
    </row>
    <row r="169" spans="1:4" x14ac:dyDescent="0.25">
      <c r="A169" s="1" t="s">
        <v>34</v>
      </c>
      <c r="B169" s="1">
        <v>1.3043981481481448E-2</v>
      </c>
      <c r="D169" s="2">
        <f t="shared" si="2"/>
        <v>18.783333333333285</v>
      </c>
    </row>
    <row r="170" spans="1:4" x14ac:dyDescent="0.25">
      <c r="A170" s="1" t="s">
        <v>34</v>
      </c>
      <c r="B170" s="1">
        <v>2.011574074074074E-2</v>
      </c>
      <c r="D170" s="2">
        <f t="shared" si="2"/>
        <v>28.966666666666665</v>
      </c>
    </row>
    <row r="171" spans="1:4" x14ac:dyDescent="0.25">
      <c r="A171" s="1" t="s">
        <v>34</v>
      </c>
      <c r="B171" s="1">
        <v>9.8842592592592871E-3</v>
      </c>
      <c r="D171" s="2">
        <f t="shared" si="2"/>
        <v>14.233333333333373</v>
      </c>
    </row>
    <row r="172" spans="1:4" x14ac:dyDescent="0.25">
      <c r="A172" s="1" t="s">
        <v>690</v>
      </c>
      <c r="B172" s="1">
        <v>3.1354166666666683E-2</v>
      </c>
      <c r="D172" s="2">
        <f t="shared" si="2"/>
        <v>45.15000000000002</v>
      </c>
    </row>
    <row r="173" spans="1:4" x14ac:dyDescent="0.25">
      <c r="A173" s="1" t="s">
        <v>690</v>
      </c>
      <c r="B173" s="1">
        <v>3.3078703703703694E-2</v>
      </c>
      <c r="D173" s="2">
        <f t="shared" si="2"/>
        <v>47.633333333333319</v>
      </c>
    </row>
    <row r="174" spans="1:4" x14ac:dyDescent="0.25">
      <c r="A174" s="1" t="s">
        <v>36</v>
      </c>
      <c r="B174" s="1">
        <v>1.446759259259256E-2</v>
      </c>
      <c r="D174" s="2">
        <f t="shared" si="2"/>
        <v>20.833333333333286</v>
      </c>
    </row>
    <row r="175" spans="1:4" x14ac:dyDescent="0.25">
      <c r="A175" s="1" t="s">
        <v>690</v>
      </c>
      <c r="B175" s="1">
        <v>2.1412037037036979E-2</v>
      </c>
      <c r="D175" s="2">
        <f t="shared" si="2"/>
        <v>30.83333333333325</v>
      </c>
    </row>
    <row r="176" spans="1:4" x14ac:dyDescent="0.25">
      <c r="A176" s="1" t="s">
        <v>36</v>
      </c>
      <c r="B176" s="1">
        <v>2.0659722222222232E-2</v>
      </c>
      <c r="D176" s="2">
        <f t="shared" si="2"/>
        <v>29.750000000000014</v>
      </c>
    </row>
    <row r="177" spans="1:4" x14ac:dyDescent="0.25">
      <c r="A177" s="1" t="s">
        <v>36</v>
      </c>
      <c r="B177" s="1">
        <v>1.1666666666666714E-2</v>
      </c>
      <c r="D177" s="2">
        <f t="shared" si="2"/>
        <v>16.800000000000068</v>
      </c>
    </row>
    <row r="178" spans="1:4" x14ac:dyDescent="0.25">
      <c r="A178" s="1" t="s">
        <v>36</v>
      </c>
      <c r="B178" s="1">
        <v>2.2372685185185204E-2</v>
      </c>
      <c r="D178" s="2">
        <f t="shared" si="2"/>
        <v>32.216666666666697</v>
      </c>
    </row>
    <row r="179" spans="1:4" x14ac:dyDescent="0.25">
      <c r="A179" s="1" t="s">
        <v>36</v>
      </c>
      <c r="B179" s="1">
        <v>1.5104166666666696E-2</v>
      </c>
      <c r="D179" s="2">
        <f t="shared" si="2"/>
        <v>21.750000000000043</v>
      </c>
    </row>
    <row r="180" spans="1:4" x14ac:dyDescent="0.25">
      <c r="A180" s="1" t="s">
        <v>36</v>
      </c>
      <c r="B180" s="1">
        <v>1.6851851851851896E-2</v>
      </c>
      <c r="D180" s="2">
        <f t="shared" si="2"/>
        <v>24.26666666666673</v>
      </c>
    </row>
    <row r="181" spans="1:4" x14ac:dyDescent="0.25">
      <c r="A181" s="1" t="s">
        <v>36</v>
      </c>
      <c r="B181" s="1">
        <v>7.5231481481481399E-3</v>
      </c>
      <c r="D181" s="2">
        <f t="shared" si="2"/>
        <v>10.833333333333321</v>
      </c>
    </row>
    <row r="182" spans="1:4" x14ac:dyDescent="0.25">
      <c r="A182" s="1" t="s">
        <v>36</v>
      </c>
      <c r="B182" s="1">
        <v>1.7199074074074172E-2</v>
      </c>
      <c r="D182" s="2">
        <f t="shared" si="2"/>
        <v>24.766666666666808</v>
      </c>
    </row>
    <row r="183" spans="1:4" x14ac:dyDescent="0.25">
      <c r="A183" s="1" t="s">
        <v>36</v>
      </c>
      <c r="B183" s="1">
        <v>9.3865740740740611E-3</v>
      </c>
      <c r="D183" s="2">
        <f t="shared" si="2"/>
        <v>13.516666666666648</v>
      </c>
    </row>
    <row r="184" spans="1:4" x14ac:dyDescent="0.25">
      <c r="A184" s="1" t="s">
        <v>36</v>
      </c>
      <c r="B184" s="1">
        <v>1.0555555555555651E-2</v>
      </c>
      <c r="D184" s="2">
        <f t="shared" si="2"/>
        <v>15.200000000000138</v>
      </c>
    </row>
    <row r="185" spans="1:4" x14ac:dyDescent="0.25">
      <c r="A185" s="1" t="s">
        <v>36</v>
      </c>
      <c r="B185" s="1">
        <v>2.3078703703703685E-2</v>
      </c>
      <c r="D185" s="2">
        <f t="shared" si="2"/>
        <v>33.233333333333306</v>
      </c>
    </row>
    <row r="186" spans="1:4" x14ac:dyDescent="0.25">
      <c r="A186" s="1" t="s">
        <v>36</v>
      </c>
      <c r="B186" s="1">
        <v>2.4143518518518592E-2</v>
      </c>
      <c r="D186" s="2">
        <f t="shared" si="2"/>
        <v>34.766666666666772</v>
      </c>
    </row>
    <row r="187" spans="1:4" x14ac:dyDescent="0.25">
      <c r="A187" s="1" t="s">
        <v>36</v>
      </c>
      <c r="B187" s="1">
        <v>9.1435185185185786E-3</v>
      </c>
      <c r="D187" s="2">
        <f t="shared" si="2"/>
        <v>13.166666666666753</v>
      </c>
    </row>
    <row r="188" spans="1:4" x14ac:dyDescent="0.25">
      <c r="A188" s="1" t="s">
        <v>36</v>
      </c>
      <c r="B188" s="1">
        <v>1.1770833333333286E-2</v>
      </c>
      <c r="D188" s="2">
        <f t="shared" si="2"/>
        <v>16.949999999999932</v>
      </c>
    </row>
    <row r="189" spans="1:4" x14ac:dyDescent="0.25">
      <c r="A189" s="1" t="s">
        <v>36</v>
      </c>
      <c r="B189" s="1">
        <v>2.3611111111111027E-2</v>
      </c>
      <c r="D189" s="2">
        <f t="shared" si="2"/>
        <v>33.999999999999879</v>
      </c>
    </row>
    <row r="190" spans="1:4" x14ac:dyDescent="0.25">
      <c r="A190" s="1" t="s">
        <v>36</v>
      </c>
      <c r="B190" s="1">
        <v>2.0428240740740788E-2</v>
      </c>
      <c r="D190" s="2">
        <f t="shared" si="2"/>
        <v>29.416666666666735</v>
      </c>
    </row>
    <row r="191" spans="1:4" x14ac:dyDescent="0.25">
      <c r="A191" s="1" t="s">
        <v>36</v>
      </c>
      <c r="B191" s="1">
        <v>1.1817129629629664E-2</v>
      </c>
      <c r="D191" s="2">
        <f t="shared" si="2"/>
        <v>17.016666666666715</v>
      </c>
    </row>
    <row r="192" spans="1:4" x14ac:dyDescent="0.25">
      <c r="A192" s="1" t="s">
        <v>36</v>
      </c>
      <c r="B192" s="1">
        <v>1.7083333333333339E-2</v>
      </c>
      <c r="D192" s="2">
        <f t="shared" si="2"/>
        <v>24.600000000000009</v>
      </c>
    </row>
    <row r="193" spans="1:4" x14ac:dyDescent="0.25">
      <c r="A193" s="1" t="s">
        <v>36</v>
      </c>
      <c r="B193" s="1">
        <v>3.943287037037041E-2</v>
      </c>
      <c r="D193" s="2">
        <f t="shared" si="2"/>
        <v>56.783333333333388</v>
      </c>
    </row>
    <row r="194" spans="1:4" x14ac:dyDescent="0.25">
      <c r="A194" s="1" t="s">
        <v>36</v>
      </c>
      <c r="B194" s="1">
        <v>7.0138888888888751E-3</v>
      </c>
      <c r="D194" s="2">
        <f t="shared" si="2"/>
        <v>10.09999999999998</v>
      </c>
    </row>
    <row r="195" spans="1:4" x14ac:dyDescent="0.25">
      <c r="A195" s="1" t="s">
        <v>36</v>
      </c>
      <c r="B195" s="1">
        <v>1.0578703703703729E-2</v>
      </c>
      <c r="D195" s="2">
        <f t="shared" ref="D195:D206" si="3">B195*1440</f>
        <v>15.23333333333337</v>
      </c>
    </row>
    <row r="196" spans="1:4" x14ac:dyDescent="0.25">
      <c r="A196" s="1" t="s">
        <v>36</v>
      </c>
      <c r="B196" s="1">
        <v>1.4444444444444482E-2</v>
      </c>
      <c r="D196" s="2">
        <f t="shared" si="3"/>
        <v>20.800000000000054</v>
      </c>
    </row>
    <row r="197" spans="1:4" x14ac:dyDescent="0.25">
      <c r="A197" s="1" t="s">
        <v>36</v>
      </c>
      <c r="B197" s="1">
        <v>1.7962962962962958E-2</v>
      </c>
      <c r="D197" s="2">
        <f t="shared" si="3"/>
        <v>25.86666666666666</v>
      </c>
    </row>
    <row r="198" spans="1:4" x14ac:dyDescent="0.25">
      <c r="A198" s="1" t="s">
        <v>36</v>
      </c>
      <c r="B198" s="1">
        <v>2.5613425925925914E-2</v>
      </c>
      <c r="D198" s="2">
        <f t="shared" si="3"/>
        <v>36.883333333333319</v>
      </c>
    </row>
    <row r="199" spans="1:4" x14ac:dyDescent="0.25">
      <c r="A199" s="1" t="s">
        <v>36</v>
      </c>
      <c r="B199" s="1">
        <v>7.8472222222222276E-3</v>
      </c>
      <c r="D199" s="2">
        <f t="shared" si="3"/>
        <v>11.300000000000008</v>
      </c>
    </row>
    <row r="200" spans="1:4" x14ac:dyDescent="0.25">
      <c r="A200" s="1" t="s">
        <v>36</v>
      </c>
      <c r="B200" s="1">
        <v>1.2916666666666687E-2</v>
      </c>
      <c r="D200" s="2">
        <f t="shared" si="3"/>
        <v>18.60000000000003</v>
      </c>
    </row>
    <row r="201" spans="1:4" x14ac:dyDescent="0.25">
      <c r="A201" s="1" t="s">
        <v>36</v>
      </c>
      <c r="B201" s="1">
        <v>1.0740740740740717E-2</v>
      </c>
      <c r="D201" s="2">
        <f t="shared" si="3"/>
        <v>15.466666666666633</v>
      </c>
    </row>
    <row r="202" spans="1:4" x14ac:dyDescent="0.25">
      <c r="A202" s="1" t="s">
        <v>36</v>
      </c>
      <c r="B202" s="1">
        <v>2.8263888888888866E-2</v>
      </c>
      <c r="D202" s="2">
        <f t="shared" si="3"/>
        <v>40.699999999999967</v>
      </c>
    </row>
    <row r="203" spans="1:4" x14ac:dyDescent="0.25">
      <c r="A203" s="1" t="s">
        <v>36</v>
      </c>
      <c r="B203" s="1">
        <v>1.8425925925925846E-2</v>
      </c>
      <c r="D203" s="2">
        <f t="shared" si="3"/>
        <v>26.533333333333218</v>
      </c>
    </row>
    <row r="204" spans="1:4" x14ac:dyDescent="0.25">
      <c r="A204" s="1" t="s">
        <v>36</v>
      </c>
      <c r="B204" s="1">
        <v>1.3923611111111067E-2</v>
      </c>
      <c r="D204" s="2">
        <f t="shared" si="3"/>
        <v>20.049999999999937</v>
      </c>
    </row>
    <row r="205" spans="1:4" x14ac:dyDescent="0.25">
      <c r="A205" s="1" t="s">
        <v>36</v>
      </c>
      <c r="B205" s="1">
        <v>1.0486111111111196E-2</v>
      </c>
      <c r="D205" s="2">
        <f t="shared" si="3"/>
        <v>15.100000000000122</v>
      </c>
    </row>
    <row r="206" spans="1:4" x14ac:dyDescent="0.25">
      <c r="A206" s="1" t="s">
        <v>36</v>
      </c>
      <c r="B206" s="1">
        <v>1.0810185185185173E-2</v>
      </c>
      <c r="D206" s="2">
        <f t="shared" si="3"/>
        <v>15.566666666666649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F583-DFBD-433C-ADF5-3B391322ADC1}">
  <dimension ref="A1:I206"/>
  <sheetViews>
    <sheetView tabSelected="1" workbookViewId="0">
      <selection activeCell="I1" sqref="I1"/>
    </sheetView>
  </sheetViews>
  <sheetFormatPr defaultRowHeight="15" x14ac:dyDescent="0.25"/>
  <cols>
    <col min="4" max="4" width="15.5703125" customWidth="1"/>
  </cols>
  <sheetData>
    <row r="1" spans="1:9" x14ac:dyDescent="0.25">
      <c r="A1" s="1" t="s">
        <v>45</v>
      </c>
      <c r="B1" s="1" t="s">
        <v>545</v>
      </c>
      <c r="D1" s="1" t="s">
        <v>542</v>
      </c>
      <c r="G1" t="s">
        <v>691</v>
      </c>
      <c r="I1" t="s">
        <v>719</v>
      </c>
    </row>
    <row r="2" spans="1:9" x14ac:dyDescent="0.25">
      <c r="A2" s="1" t="s">
        <v>33</v>
      </c>
      <c r="B2" s="1">
        <v>8.5995370370370861E-3</v>
      </c>
      <c r="D2" s="1">
        <v>6.6550925925925597E-3</v>
      </c>
      <c r="G2" s="1">
        <f>B2-D2</f>
        <v>1.9444444444445264E-3</v>
      </c>
      <c r="I2" s="2">
        <f>G2*1440</f>
        <v>2.800000000000118</v>
      </c>
    </row>
    <row r="3" spans="1:9" x14ac:dyDescent="0.25">
      <c r="A3" s="1" t="s">
        <v>33</v>
      </c>
      <c r="B3" s="1">
        <v>1.0208333333333333E-2</v>
      </c>
      <c r="D3" s="1">
        <v>8.8310185185185297E-3</v>
      </c>
      <c r="G3" s="1">
        <f t="shared" ref="G3:G66" si="0">B3-D3</f>
        <v>1.3773148148148034E-3</v>
      </c>
      <c r="I3" s="2">
        <f t="shared" ref="I3:I66" si="1">G3*1440</f>
        <v>1.983333333333317</v>
      </c>
    </row>
    <row r="4" spans="1:9" x14ac:dyDescent="0.25">
      <c r="A4" s="1" t="s">
        <v>33</v>
      </c>
      <c r="B4" s="1">
        <v>1.3101851851851865E-2</v>
      </c>
      <c r="D4" s="1">
        <v>1.186342592592593E-2</v>
      </c>
      <c r="G4" s="1">
        <f t="shared" si="0"/>
        <v>1.2384259259259345E-3</v>
      </c>
      <c r="I4" s="2">
        <f t="shared" si="1"/>
        <v>1.7833333333333456</v>
      </c>
    </row>
    <row r="5" spans="1:9" x14ac:dyDescent="0.25">
      <c r="A5" s="1" t="s">
        <v>33</v>
      </c>
      <c r="B5" s="1">
        <v>1.201388888888888E-2</v>
      </c>
      <c r="D5" s="1">
        <v>6.6898148148147873E-3</v>
      </c>
      <c r="G5" s="1">
        <f t="shared" si="0"/>
        <v>5.3240740740740922E-3</v>
      </c>
      <c r="I5" s="2">
        <f t="shared" si="1"/>
        <v>7.6666666666666927</v>
      </c>
    </row>
    <row r="6" spans="1:9" x14ac:dyDescent="0.25">
      <c r="A6" s="1" t="s">
        <v>33</v>
      </c>
      <c r="B6" s="1">
        <v>6.6203703703704431E-3</v>
      </c>
      <c r="D6" s="1">
        <v>5.5555555555555358E-3</v>
      </c>
      <c r="G6" s="1">
        <f t="shared" si="0"/>
        <v>1.0648148148149073E-3</v>
      </c>
      <c r="I6" s="2">
        <f t="shared" si="1"/>
        <v>1.5333333333334664</v>
      </c>
    </row>
    <row r="7" spans="1:9" x14ac:dyDescent="0.25">
      <c r="A7" s="1" t="s">
        <v>33</v>
      </c>
      <c r="B7" s="1">
        <v>1.0381944444444402E-2</v>
      </c>
      <c r="D7" s="1">
        <v>8.5300925925926308E-3</v>
      </c>
      <c r="G7" s="1">
        <f t="shared" si="0"/>
        <v>1.8518518518517713E-3</v>
      </c>
      <c r="I7" s="2">
        <f t="shared" si="1"/>
        <v>2.6666666666665506</v>
      </c>
    </row>
    <row r="8" spans="1:9" x14ac:dyDescent="0.25">
      <c r="A8" s="1" t="s">
        <v>33</v>
      </c>
      <c r="B8" s="1">
        <v>7.4074074074074181E-3</v>
      </c>
      <c r="D8" s="1">
        <v>6.423611111111116E-3</v>
      </c>
      <c r="G8" s="1">
        <f t="shared" si="0"/>
        <v>9.8379629629630205E-4</v>
      </c>
      <c r="I8" s="2">
        <f t="shared" si="1"/>
        <v>1.416666666666675</v>
      </c>
    </row>
    <row r="9" spans="1:9" x14ac:dyDescent="0.25">
      <c r="A9" s="1" t="s">
        <v>33</v>
      </c>
      <c r="B9" s="1">
        <v>1.7962962962962958E-2</v>
      </c>
      <c r="D9" s="1">
        <v>1.5972222222222165E-2</v>
      </c>
      <c r="G9" s="1">
        <f t="shared" si="0"/>
        <v>1.9907407407407929E-3</v>
      </c>
      <c r="I9" s="2">
        <f t="shared" si="1"/>
        <v>2.8666666666667417</v>
      </c>
    </row>
    <row r="10" spans="1:9" x14ac:dyDescent="0.25">
      <c r="A10" s="1" t="s">
        <v>33</v>
      </c>
      <c r="B10" s="1">
        <v>1.2685185185185133E-2</v>
      </c>
      <c r="D10" s="1">
        <v>9.8842592592592871E-3</v>
      </c>
      <c r="G10" s="1">
        <f t="shared" si="0"/>
        <v>2.8009259259258457E-3</v>
      </c>
      <c r="I10" s="2">
        <f t="shared" si="1"/>
        <v>4.0333333333332178</v>
      </c>
    </row>
    <row r="11" spans="1:9" x14ac:dyDescent="0.25">
      <c r="A11" s="1" t="s">
        <v>33</v>
      </c>
      <c r="B11" s="1">
        <v>1.5787037037037099E-2</v>
      </c>
      <c r="D11" s="1">
        <v>1.3078703703703676E-2</v>
      </c>
      <c r="G11" s="1">
        <f t="shared" si="0"/>
        <v>2.7083333333334236E-3</v>
      </c>
      <c r="I11" s="2">
        <f t="shared" si="1"/>
        <v>3.90000000000013</v>
      </c>
    </row>
    <row r="12" spans="1:9" x14ac:dyDescent="0.25">
      <c r="A12" s="1" t="s">
        <v>33</v>
      </c>
      <c r="B12" s="1">
        <v>1.1631944444444375E-2</v>
      </c>
      <c r="D12" s="1">
        <v>1.0231481481481453E-2</v>
      </c>
      <c r="G12" s="1">
        <f t="shared" si="0"/>
        <v>1.4004629629629228E-3</v>
      </c>
      <c r="I12" s="2">
        <f t="shared" si="1"/>
        <v>2.0166666666666089</v>
      </c>
    </row>
    <row r="13" spans="1:9" x14ac:dyDescent="0.25">
      <c r="A13" s="1" t="s">
        <v>33</v>
      </c>
      <c r="B13" s="1">
        <v>1.0254629629629641E-2</v>
      </c>
      <c r="D13" s="1">
        <v>9.0162037037037068E-3</v>
      </c>
      <c r="G13" s="1">
        <f t="shared" si="0"/>
        <v>1.2384259259259345E-3</v>
      </c>
      <c r="I13" s="2">
        <f t="shared" si="1"/>
        <v>1.7833333333333456</v>
      </c>
    </row>
    <row r="14" spans="1:9" x14ac:dyDescent="0.25">
      <c r="A14" s="1" t="s">
        <v>33</v>
      </c>
      <c r="B14" s="1">
        <v>1.2824074074074043E-2</v>
      </c>
      <c r="D14" s="1">
        <v>1.1111111111111072E-2</v>
      </c>
      <c r="G14" s="1">
        <f t="shared" si="0"/>
        <v>1.7129629629629717E-3</v>
      </c>
      <c r="I14" s="2">
        <f t="shared" si="1"/>
        <v>2.4666666666666792</v>
      </c>
    </row>
    <row r="15" spans="1:9" x14ac:dyDescent="0.25">
      <c r="A15" s="1" t="s">
        <v>33</v>
      </c>
      <c r="B15" s="1">
        <v>7.7546296296296946E-3</v>
      </c>
      <c r="D15" s="1">
        <v>6.2615740740741277E-3</v>
      </c>
      <c r="G15" s="1">
        <f t="shared" si="0"/>
        <v>1.4930555555555669E-3</v>
      </c>
      <c r="I15" s="2">
        <f t="shared" si="1"/>
        <v>2.1500000000000163</v>
      </c>
    </row>
    <row r="16" spans="1:9" x14ac:dyDescent="0.25">
      <c r="A16" s="1" t="s">
        <v>33</v>
      </c>
      <c r="B16" s="1">
        <v>1.6712962962962985E-2</v>
      </c>
      <c r="D16" s="1">
        <v>1.5613425925925961E-2</v>
      </c>
      <c r="G16" s="1">
        <f t="shared" si="0"/>
        <v>1.0995370370370239E-3</v>
      </c>
      <c r="I16" s="2">
        <f t="shared" si="1"/>
        <v>1.5833333333333144</v>
      </c>
    </row>
    <row r="17" spans="1:9" x14ac:dyDescent="0.25">
      <c r="A17" s="1" t="s">
        <v>33</v>
      </c>
      <c r="B17" s="1">
        <v>3.8287037037037064E-2</v>
      </c>
      <c r="D17" s="1">
        <v>1.3055555555555598E-2</v>
      </c>
      <c r="G17" s="1">
        <f t="shared" si="0"/>
        <v>2.5231481481481466E-2</v>
      </c>
      <c r="I17" s="2">
        <f t="shared" si="1"/>
        <v>36.333333333333314</v>
      </c>
    </row>
    <row r="18" spans="1:9" x14ac:dyDescent="0.25">
      <c r="A18" s="1" t="s">
        <v>33</v>
      </c>
      <c r="B18" s="1">
        <v>1.6550925925925886E-2</v>
      </c>
      <c r="D18" s="1">
        <v>9.5370370370370106E-3</v>
      </c>
      <c r="G18" s="1">
        <f t="shared" si="0"/>
        <v>7.0138888888888751E-3</v>
      </c>
      <c r="I18" s="2">
        <f t="shared" si="1"/>
        <v>10.09999999999998</v>
      </c>
    </row>
    <row r="19" spans="1:9" x14ac:dyDescent="0.25">
      <c r="A19" s="1" t="s">
        <v>33</v>
      </c>
      <c r="B19" s="1">
        <v>1.1331018518518476E-2</v>
      </c>
      <c r="D19" s="1">
        <v>9.5138888888888218E-3</v>
      </c>
      <c r="G19" s="1">
        <f t="shared" si="0"/>
        <v>1.8171296296296546E-3</v>
      </c>
      <c r="I19" s="2">
        <f t="shared" si="1"/>
        <v>2.6166666666667027</v>
      </c>
    </row>
    <row r="20" spans="1:9" x14ac:dyDescent="0.25">
      <c r="A20" s="1" t="s">
        <v>33</v>
      </c>
      <c r="B20" s="1">
        <v>1.2835648148148193E-2</v>
      </c>
      <c r="D20" s="1">
        <v>9.5370370370370106E-3</v>
      </c>
      <c r="G20" s="1">
        <f t="shared" si="0"/>
        <v>3.2986111111111827E-3</v>
      </c>
      <c r="I20" s="2">
        <f t="shared" si="1"/>
        <v>4.750000000000103</v>
      </c>
    </row>
    <row r="21" spans="1:9" x14ac:dyDescent="0.25">
      <c r="A21" s="1" t="s">
        <v>33</v>
      </c>
      <c r="B21" s="1">
        <v>1.1805555555555625E-2</v>
      </c>
      <c r="D21" s="1">
        <v>1.0648148148148184E-2</v>
      </c>
      <c r="G21" s="1">
        <f t="shared" si="0"/>
        <v>1.1574074074074403E-3</v>
      </c>
      <c r="I21" s="2">
        <f t="shared" si="1"/>
        <v>1.666666666666714</v>
      </c>
    </row>
    <row r="22" spans="1:9" x14ac:dyDescent="0.25">
      <c r="A22" s="1" t="s">
        <v>33</v>
      </c>
      <c r="B22" s="1">
        <v>7.9861111111111382E-3</v>
      </c>
      <c r="D22" s="1">
        <v>6.1805555555555225E-3</v>
      </c>
      <c r="G22" s="1">
        <f t="shared" si="0"/>
        <v>1.8055555555556158E-3</v>
      </c>
      <c r="I22" s="2">
        <f t="shared" si="1"/>
        <v>2.6000000000000867</v>
      </c>
    </row>
    <row r="23" spans="1:9" x14ac:dyDescent="0.25">
      <c r="A23" s="1" t="s">
        <v>33</v>
      </c>
      <c r="B23" s="1">
        <v>1.1319444444444438E-2</v>
      </c>
      <c r="D23" s="1">
        <v>8.9467592592592515E-3</v>
      </c>
      <c r="G23" s="1">
        <f t="shared" si="0"/>
        <v>2.372685185185186E-3</v>
      </c>
      <c r="I23" s="2">
        <f t="shared" si="1"/>
        <v>3.4166666666666679</v>
      </c>
    </row>
    <row r="24" spans="1:9" x14ac:dyDescent="0.25">
      <c r="A24" s="1" t="s">
        <v>33</v>
      </c>
      <c r="B24" s="1">
        <v>7.8819444444444553E-3</v>
      </c>
      <c r="D24" s="1">
        <v>6.7129629629629761E-3</v>
      </c>
      <c r="G24" s="1">
        <f t="shared" si="0"/>
        <v>1.1689814814814792E-3</v>
      </c>
      <c r="I24" s="2">
        <f t="shared" si="1"/>
        <v>1.68333333333333</v>
      </c>
    </row>
    <row r="25" spans="1:9" x14ac:dyDescent="0.25">
      <c r="A25" s="1" t="s">
        <v>33</v>
      </c>
      <c r="B25" s="1">
        <v>4.1157407407407476E-2</v>
      </c>
      <c r="D25" s="1">
        <v>1.6006944444444504E-2</v>
      </c>
      <c r="G25" s="1">
        <f t="shared" si="0"/>
        <v>2.5150462962962972E-2</v>
      </c>
      <c r="I25" s="2">
        <f t="shared" si="1"/>
        <v>36.216666666666683</v>
      </c>
    </row>
    <row r="26" spans="1:9" x14ac:dyDescent="0.25">
      <c r="A26" s="1" t="s">
        <v>33</v>
      </c>
      <c r="B26" s="1">
        <v>6.0879629629629894E-3</v>
      </c>
      <c r="D26" s="1">
        <v>4.3518518518518845E-3</v>
      </c>
      <c r="G26" s="1">
        <f t="shared" si="0"/>
        <v>1.7361111111111049E-3</v>
      </c>
      <c r="I26" s="2">
        <f t="shared" si="1"/>
        <v>2.4999999999999911</v>
      </c>
    </row>
    <row r="27" spans="1:9" x14ac:dyDescent="0.25">
      <c r="A27" s="1" t="s">
        <v>33</v>
      </c>
      <c r="B27" s="1">
        <v>1.8263888888888857E-2</v>
      </c>
      <c r="D27" s="1">
        <v>1.4988425925925863E-2</v>
      </c>
      <c r="G27" s="1">
        <f t="shared" si="0"/>
        <v>3.2754629629629939E-3</v>
      </c>
      <c r="I27" s="2">
        <f t="shared" si="1"/>
        <v>4.7166666666667112</v>
      </c>
    </row>
    <row r="28" spans="1:9" x14ac:dyDescent="0.25">
      <c r="A28" s="1" t="s">
        <v>33</v>
      </c>
      <c r="B28" s="1">
        <v>1.853009259259264E-2</v>
      </c>
      <c r="D28" s="1">
        <v>1.317129629629632E-2</v>
      </c>
      <c r="G28" s="1">
        <f t="shared" si="0"/>
        <v>5.3587962962963198E-3</v>
      </c>
      <c r="I28" s="2">
        <f t="shared" si="1"/>
        <v>7.7166666666667005</v>
      </c>
    </row>
    <row r="29" spans="1:9" x14ac:dyDescent="0.25">
      <c r="A29" s="1" t="s">
        <v>33</v>
      </c>
      <c r="B29" s="1">
        <v>8.0902777777778212E-3</v>
      </c>
      <c r="D29" s="1">
        <v>6.7361111111110539E-3</v>
      </c>
      <c r="G29" s="1">
        <f t="shared" si="0"/>
        <v>1.3541666666667673E-3</v>
      </c>
      <c r="I29" s="2">
        <f t="shared" si="1"/>
        <v>1.950000000000145</v>
      </c>
    </row>
    <row r="30" spans="1:9" x14ac:dyDescent="0.25">
      <c r="A30" s="1" t="s">
        <v>33</v>
      </c>
      <c r="B30" s="1">
        <v>2.2002314814814794E-2</v>
      </c>
      <c r="D30" s="1">
        <v>1.938657407407407E-2</v>
      </c>
      <c r="G30" s="1">
        <f t="shared" si="0"/>
        <v>2.615740740740724E-3</v>
      </c>
      <c r="I30" s="2">
        <f t="shared" si="1"/>
        <v>3.7666666666666426</v>
      </c>
    </row>
    <row r="31" spans="1:9" x14ac:dyDescent="0.25">
      <c r="A31" s="1" t="s">
        <v>33</v>
      </c>
      <c r="B31" s="1">
        <v>9.2824074074073781E-3</v>
      </c>
      <c r="D31" s="1">
        <v>7.3379629629629628E-3</v>
      </c>
      <c r="G31" s="1">
        <f t="shared" si="0"/>
        <v>1.9444444444444153E-3</v>
      </c>
      <c r="I31" s="2">
        <f t="shared" si="1"/>
        <v>2.7999999999999581</v>
      </c>
    </row>
    <row r="32" spans="1:9" x14ac:dyDescent="0.25">
      <c r="A32" s="1" t="s">
        <v>33</v>
      </c>
      <c r="B32" s="1">
        <v>1.4340277777777799E-2</v>
      </c>
      <c r="D32" s="1">
        <v>1.2326388888888928E-2</v>
      </c>
      <c r="G32" s="1">
        <f t="shared" si="0"/>
        <v>2.0138888888888706E-3</v>
      </c>
      <c r="I32" s="2">
        <f t="shared" si="1"/>
        <v>2.8999999999999737</v>
      </c>
    </row>
    <row r="33" spans="1:9" x14ac:dyDescent="0.25">
      <c r="A33" s="1" t="s">
        <v>33</v>
      </c>
      <c r="B33" s="1">
        <v>1.3599537037037035E-2</v>
      </c>
      <c r="D33" s="1">
        <v>9.7453703703703765E-3</v>
      </c>
      <c r="G33" s="1">
        <f t="shared" si="0"/>
        <v>3.8541666666666585E-3</v>
      </c>
      <c r="I33" s="2">
        <f t="shared" si="1"/>
        <v>5.5499999999999883</v>
      </c>
    </row>
    <row r="34" spans="1:9" x14ac:dyDescent="0.25">
      <c r="A34" s="1" t="s">
        <v>33</v>
      </c>
      <c r="B34" s="1">
        <v>1.7291666666666705E-2</v>
      </c>
      <c r="D34" s="1">
        <v>1.591435185185186E-2</v>
      </c>
      <c r="G34" s="1">
        <f t="shared" si="0"/>
        <v>1.3773148148148451E-3</v>
      </c>
      <c r="I34" s="2">
        <f t="shared" si="1"/>
        <v>1.9833333333333769</v>
      </c>
    </row>
    <row r="35" spans="1:9" x14ac:dyDescent="0.25">
      <c r="A35" s="1" t="s">
        <v>33</v>
      </c>
      <c r="B35" s="1">
        <v>1.8958333333333355E-2</v>
      </c>
      <c r="D35" s="1">
        <v>1.0694444444444451E-2</v>
      </c>
      <c r="G35" s="1">
        <f t="shared" si="0"/>
        <v>8.2638888888889039E-3</v>
      </c>
      <c r="I35" s="2">
        <f t="shared" si="1"/>
        <v>11.900000000000022</v>
      </c>
    </row>
    <row r="36" spans="1:9" x14ac:dyDescent="0.25">
      <c r="A36" s="1" t="s">
        <v>33</v>
      </c>
      <c r="B36" s="1">
        <v>7.7546296296296946E-3</v>
      </c>
      <c r="D36" s="1">
        <v>5.1504629629629539E-3</v>
      </c>
      <c r="G36" s="1">
        <f t="shared" si="0"/>
        <v>2.6041666666667407E-3</v>
      </c>
      <c r="I36" s="2">
        <f t="shared" si="1"/>
        <v>3.7500000000001066</v>
      </c>
    </row>
    <row r="37" spans="1:9" x14ac:dyDescent="0.25">
      <c r="A37" s="1" t="s">
        <v>33</v>
      </c>
      <c r="B37" s="1">
        <v>1.1782407407407436E-2</v>
      </c>
      <c r="D37" s="1">
        <v>6.7592592592593537E-3</v>
      </c>
      <c r="G37" s="1">
        <f t="shared" si="0"/>
        <v>5.0231481481480822E-3</v>
      </c>
      <c r="I37" s="2">
        <f t="shared" si="1"/>
        <v>7.2333333333332384</v>
      </c>
    </row>
    <row r="38" spans="1:9" x14ac:dyDescent="0.25">
      <c r="A38" s="1" t="s">
        <v>33</v>
      </c>
      <c r="B38" s="1">
        <v>1.8391203703703729E-2</v>
      </c>
      <c r="D38" s="1">
        <v>8.7847222222222632E-3</v>
      </c>
      <c r="G38" s="1">
        <f t="shared" si="0"/>
        <v>9.6064814814814659E-3</v>
      </c>
      <c r="I38" s="2">
        <f t="shared" si="1"/>
        <v>13.833333333333311</v>
      </c>
    </row>
    <row r="39" spans="1:9" x14ac:dyDescent="0.25">
      <c r="A39" s="1" t="s">
        <v>33</v>
      </c>
      <c r="B39" s="1">
        <v>9.7222222222221877E-3</v>
      </c>
      <c r="D39" s="1">
        <v>8.1944444444443931E-3</v>
      </c>
      <c r="G39" s="1">
        <f t="shared" si="0"/>
        <v>1.5277777777777946E-3</v>
      </c>
      <c r="I39" s="2">
        <f t="shared" si="1"/>
        <v>2.2000000000000242</v>
      </c>
    </row>
    <row r="40" spans="1:9" x14ac:dyDescent="0.25">
      <c r="A40" s="1" t="s">
        <v>33</v>
      </c>
      <c r="B40" s="1">
        <v>9.2824074074073781E-3</v>
      </c>
      <c r="D40" s="1">
        <v>8.0324074074074048E-3</v>
      </c>
      <c r="G40" s="1">
        <f t="shared" si="0"/>
        <v>1.2499999999999734E-3</v>
      </c>
      <c r="I40" s="2">
        <f t="shared" si="1"/>
        <v>1.7999999999999616</v>
      </c>
    </row>
    <row r="41" spans="1:9" x14ac:dyDescent="0.25">
      <c r="A41" s="1" t="s">
        <v>33</v>
      </c>
      <c r="B41" s="1">
        <v>1.5150462962962963E-2</v>
      </c>
      <c r="D41" s="1">
        <v>1.1516203703703654E-2</v>
      </c>
      <c r="G41" s="1">
        <f t="shared" si="0"/>
        <v>3.6342592592593093E-3</v>
      </c>
      <c r="I41" s="2">
        <f t="shared" si="1"/>
        <v>5.2333333333334053</v>
      </c>
    </row>
    <row r="42" spans="1:9" x14ac:dyDescent="0.25">
      <c r="A42" s="1" t="s">
        <v>33</v>
      </c>
      <c r="B42" s="1">
        <v>5.0810185185185541E-3</v>
      </c>
      <c r="D42" s="1">
        <v>3.5416666666666652E-3</v>
      </c>
      <c r="G42" s="1">
        <f t="shared" si="0"/>
        <v>1.5393518518518889E-3</v>
      </c>
      <c r="I42" s="2">
        <f t="shared" si="1"/>
        <v>2.2166666666667201</v>
      </c>
    </row>
    <row r="43" spans="1:9" x14ac:dyDescent="0.25">
      <c r="A43" s="1" t="s">
        <v>33</v>
      </c>
      <c r="B43" s="1">
        <v>2.2395833333333337E-2</v>
      </c>
      <c r="D43" s="1">
        <v>1.4479166666666654E-2</v>
      </c>
      <c r="G43" s="1">
        <f t="shared" si="0"/>
        <v>7.9166666666666829E-3</v>
      </c>
      <c r="I43" s="2">
        <f t="shared" si="1"/>
        <v>11.400000000000023</v>
      </c>
    </row>
    <row r="44" spans="1:9" x14ac:dyDescent="0.25">
      <c r="A44" s="1" t="s">
        <v>33</v>
      </c>
      <c r="B44" s="1">
        <v>8.9699074074074403E-3</v>
      </c>
      <c r="D44" s="1">
        <v>6.4120370370370772E-3</v>
      </c>
      <c r="G44" s="1">
        <f t="shared" si="0"/>
        <v>2.5578703703703631E-3</v>
      </c>
      <c r="I44" s="2">
        <f t="shared" si="1"/>
        <v>3.6833333333333229</v>
      </c>
    </row>
    <row r="45" spans="1:9" x14ac:dyDescent="0.25">
      <c r="A45" s="1" t="s">
        <v>33</v>
      </c>
      <c r="B45" s="1">
        <v>1.5763888888888911E-2</v>
      </c>
      <c r="D45" s="1">
        <v>1.4201388888888888E-2</v>
      </c>
      <c r="G45" s="1">
        <f t="shared" si="0"/>
        <v>1.5625000000000222E-3</v>
      </c>
      <c r="I45" s="2">
        <f t="shared" si="1"/>
        <v>2.250000000000032</v>
      </c>
    </row>
    <row r="46" spans="1:9" x14ac:dyDescent="0.25">
      <c r="A46" s="1" t="s">
        <v>33</v>
      </c>
      <c r="B46" s="1">
        <v>1.4675925925925926E-2</v>
      </c>
      <c r="D46" s="1">
        <v>1.2071759259259296E-2</v>
      </c>
      <c r="G46" s="1">
        <f t="shared" si="0"/>
        <v>2.6041666666666297E-3</v>
      </c>
      <c r="I46" s="2">
        <f t="shared" si="1"/>
        <v>3.7499999999999467</v>
      </c>
    </row>
    <row r="47" spans="1:9" x14ac:dyDescent="0.25">
      <c r="A47" s="1" t="s">
        <v>33</v>
      </c>
      <c r="B47" s="1">
        <v>1.5474537037037051E-2</v>
      </c>
      <c r="D47" s="1">
        <v>1.4212962962962927E-2</v>
      </c>
      <c r="G47" s="1">
        <f t="shared" si="0"/>
        <v>1.2615740740741233E-3</v>
      </c>
      <c r="I47" s="2">
        <f t="shared" si="1"/>
        <v>1.8166666666667375</v>
      </c>
    </row>
    <row r="48" spans="1:9" x14ac:dyDescent="0.25">
      <c r="A48" s="1" t="s">
        <v>33</v>
      </c>
      <c r="B48" s="1">
        <v>1.0428240740740669E-2</v>
      </c>
      <c r="D48" s="1">
        <v>7.2916666666666963E-3</v>
      </c>
      <c r="G48" s="1">
        <f t="shared" si="0"/>
        <v>3.1365740740739723E-3</v>
      </c>
      <c r="I48" s="2">
        <f t="shared" si="1"/>
        <v>4.5166666666665201</v>
      </c>
    </row>
    <row r="49" spans="1:9" x14ac:dyDescent="0.25">
      <c r="A49" s="1" t="s">
        <v>33</v>
      </c>
      <c r="B49" s="1">
        <v>1.6956018518518579E-2</v>
      </c>
      <c r="D49" s="1">
        <v>1.591435185185186E-2</v>
      </c>
      <c r="G49" s="1">
        <f t="shared" si="0"/>
        <v>1.0416666666667185E-3</v>
      </c>
      <c r="I49" s="2">
        <f t="shared" si="1"/>
        <v>1.5000000000000746</v>
      </c>
    </row>
    <row r="50" spans="1:9" x14ac:dyDescent="0.25">
      <c r="A50" s="1" t="s">
        <v>33</v>
      </c>
      <c r="B50" s="1">
        <v>1.6469907407407391E-2</v>
      </c>
      <c r="D50" s="1">
        <v>1.5324074074074101E-2</v>
      </c>
      <c r="G50" s="1">
        <f t="shared" si="0"/>
        <v>1.1458333333332904E-3</v>
      </c>
      <c r="I50" s="2">
        <f t="shared" si="1"/>
        <v>1.6499999999999382</v>
      </c>
    </row>
    <row r="51" spans="1:9" x14ac:dyDescent="0.25">
      <c r="A51" s="1" t="s">
        <v>33</v>
      </c>
      <c r="B51" s="1">
        <v>6.8055555555555092E-3</v>
      </c>
      <c r="D51" s="1">
        <v>5.7986111111111294E-3</v>
      </c>
      <c r="G51" s="1">
        <f t="shared" si="0"/>
        <v>1.0069444444443798E-3</v>
      </c>
      <c r="I51" s="2">
        <f t="shared" si="1"/>
        <v>1.4499999999999069</v>
      </c>
    </row>
    <row r="52" spans="1:9" x14ac:dyDescent="0.25">
      <c r="A52" s="1" t="s">
        <v>33</v>
      </c>
      <c r="B52" s="1">
        <v>7.1759259259259744E-3</v>
      </c>
      <c r="D52" s="1">
        <v>5.1620370370369928E-3</v>
      </c>
      <c r="G52" s="1">
        <f t="shared" si="0"/>
        <v>2.0138888888889817E-3</v>
      </c>
      <c r="I52" s="2">
        <f t="shared" si="1"/>
        <v>2.9000000000001336</v>
      </c>
    </row>
    <row r="53" spans="1:9" x14ac:dyDescent="0.25">
      <c r="A53" s="1" t="s">
        <v>33</v>
      </c>
      <c r="B53" s="1">
        <v>1.0104166666666581E-2</v>
      </c>
      <c r="D53" s="1">
        <v>7.7893518518518112E-3</v>
      </c>
      <c r="G53" s="1">
        <f t="shared" si="0"/>
        <v>2.3148148148147696E-3</v>
      </c>
      <c r="I53" s="2">
        <f t="shared" si="1"/>
        <v>3.3333333333332682</v>
      </c>
    </row>
    <row r="54" spans="1:9" x14ac:dyDescent="0.25">
      <c r="A54" s="1" t="s">
        <v>34</v>
      </c>
      <c r="B54" s="1">
        <v>1.4583333333333393E-2</v>
      </c>
      <c r="D54" s="1">
        <v>1.215277777777779E-2</v>
      </c>
      <c r="G54" s="1">
        <f t="shared" si="0"/>
        <v>2.4305555555556024E-3</v>
      </c>
      <c r="I54" s="2">
        <f t="shared" si="1"/>
        <v>3.5000000000000675</v>
      </c>
    </row>
    <row r="55" spans="1:9" x14ac:dyDescent="0.25">
      <c r="A55" s="1" t="s">
        <v>34</v>
      </c>
      <c r="B55" s="1">
        <v>2.5590277777777781E-2</v>
      </c>
      <c r="D55" s="1">
        <v>2.1967592592592622E-2</v>
      </c>
      <c r="G55" s="1">
        <f t="shared" si="0"/>
        <v>3.6226851851851594E-3</v>
      </c>
      <c r="I55" s="2">
        <f t="shared" si="1"/>
        <v>5.2166666666666295</v>
      </c>
    </row>
    <row r="56" spans="1:9" x14ac:dyDescent="0.25">
      <c r="A56" s="1" t="s">
        <v>34</v>
      </c>
      <c r="B56" s="1">
        <v>1.5821759259259327E-2</v>
      </c>
      <c r="D56" s="1">
        <v>7.0138888888889861E-3</v>
      </c>
      <c r="G56" s="1">
        <f t="shared" si="0"/>
        <v>8.8078703703703409E-3</v>
      </c>
      <c r="I56" s="2">
        <f t="shared" si="1"/>
        <v>12.683333333333291</v>
      </c>
    </row>
    <row r="57" spans="1:9" x14ac:dyDescent="0.25">
      <c r="A57" s="1" t="s">
        <v>34</v>
      </c>
      <c r="B57" s="1">
        <v>8.4837962962963642E-3</v>
      </c>
      <c r="D57" s="1">
        <v>7.2337962962962798E-3</v>
      </c>
      <c r="G57" s="1">
        <f t="shared" si="0"/>
        <v>1.2500000000000844E-3</v>
      </c>
      <c r="I57" s="2">
        <f t="shared" si="1"/>
        <v>1.8000000000001215</v>
      </c>
    </row>
    <row r="58" spans="1:9" x14ac:dyDescent="0.25">
      <c r="A58" s="1" t="s">
        <v>34</v>
      </c>
      <c r="B58" s="1">
        <v>1.2581018518518561E-2</v>
      </c>
      <c r="D58" s="1">
        <v>1.0624999999999996E-2</v>
      </c>
      <c r="G58" s="1">
        <f t="shared" si="0"/>
        <v>1.9560185185185652E-3</v>
      </c>
      <c r="I58" s="2">
        <f t="shared" si="1"/>
        <v>2.8166666666667339</v>
      </c>
    </row>
    <row r="59" spans="1:9" x14ac:dyDescent="0.25">
      <c r="A59" s="1" t="s">
        <v>34</v>
      </c>
      <c r="B59" s="1">
        <v>9.6643518518518823E-3</v>
      </c>
      <c r="D59" s="1">
        <v>5.5555555555555358E-3</v>
      </c>
      <c r="G59" s="1">
        <f t="shared" si="0"/>
        <v>4.1087962962963465E-3</v>
      </c>
      <c r="I59" s="2">
        <f t="shared" si="1"/>
        <v>5.9166666666667389</v>
      </c>
    </row>
    <row r="60" spans="1:9" x14ac:dyDescent="0.25">
      <c r="A60" s="1" t="s">
        <v>34</v>
      </c>
      <c r="B60" s="1">
        <v>6.423611111111116E-3</v>
      </c>
      <c r="D60" s="1">
        <v>5.2662037037037868E-3</v>
      </c>
      <c r="G60" s="1">
        <f t="shared" si="0"/>
        <v>1.1574074074073293E-3</v>
      </c>
      <c r="I60" s="2">
        <f t="shared" si="1"/>
        <v>1.6666666666665542</v>
      </c>
    </row>
    <row r="61" spans="1:9" x14ac:dyDescent="0.25">
      <c r="A61" s="1" t="s">
        <v>34</v>
      </c>
      <c r="B61" s="1">
        <v>8.3796296296296813E-3</v>
      </c>
      <c r="D61" s="1">
        <v>7.0833333333333304E-3</v>
      </c>
      <c r="G61" s="1">
        <f t="shared" si="0"/>
        <v>1.2962962962963509E-3</v>
      </c>
      <c r="I61" s="2">
        <f t="shared" si="1"/>
        <v>1.8666666666667453</v>
      </c>
    </row>
    <row r="62" spans="1:9" x14ac:dyDescent="0.25">
      <c r="A62" s="1" t="s">
        <v>34</v>
      </c>
      <c r="B62" s="1">
        <v>9.4328703703703276E-3</v>
      </c>
      <c r="D62" s="1">
        <v>8.3217592592592649E-3</v>
      </c>
      <c r="G62" s="1">
        <f t="shared" si="0"/>
        <v>1.1111111111110628E-3</v>
      </c>
      <c r="I62" s="2">
        <f t="shared" si="1"/>
        <v>1.5999999999999304</v>
      </c>
    </row>
    <row r="63" spans="1:9" x14ac:dyDescent="0.25">
      <c r="A63" s="1" t="s">
        <v>34</v>
      </c>
      <c r="B63" s="1">
        <v>1.1435185185185159E-2</v>
      </c>
      <c r="D63" s="1">
        <v>7.7662037037037335E-3</v>
      </c>
      <c r="G63" s="1">
        <f t="shared" si="0"/>
        <v>3.6689814814814259E-3</v>
      </c>
      <c r="I63" s="2">
        <f t="shared" si="1"/>
        <v>5.2833333333332533</v>
      </c>
    </row>
    <row r="64" spans="1:9" x14ac:dyDescent="0.25">
      <c r="A64" s="1" t="s">
        <v>34</v>
      </c>
      <c r="B64" s="1">
        <v>1.722222222222225E-2</v>
      </c>
      <c r="D64" s="1">
        <v>1.489583333333333E-2</v>
      </c>
      <c r="G64" s="1">
        <f t="shared" si="0"/>
        <v>2.3263888888889195E-3</v>
      </c>
      <c r="I64" s="2">
        <f t="shared" si="1"/>
        <v>3.3500000000000441</v>
      </c>
    </row>
    <row r="65" spans="1:9" x14ac:dyDescent="0.25">
      <c r="A65" s="1" t="s">
        <v>34</v>
      </c>
      <c r="B65" s="1">
        <v>1.2418981481481461E-2</v>
      </c>
      <c r="D65" s="1">
        <v>1.0231481481481453E-2</v>
      </c>
      <c r="G65" s="1">
        <f t="shared" si="0"/>
        <v>2.1875000000000089E-3</v>
      </c>
      <c r="I65" s="2">
        <f t="shared" si="1"/>
        <v>3.1500000000000128</v>
      </c>
    </row>
    <row r="66" spans="1:9" x14ac:dyDescent="0.25">
      <c r="A66" s="1" t="s">
        <v>34</v>
      </c>
      <c r="B66" s="1">
        <v>8.4606481481481755E-3</v>
      </c>
      <c r="D66" s="1">
        <v>6.2731481481481666E-3</v>
      </c>
      <c r="G66" s="1">
        <f t="shared" si="0"/>
        <v>2.1875000000000089E-3</v>
      </c>
      <c r="I66" s="2">
        <f t="shared" si="1"/>
        <v>3.1500000000000128</v>
      </c>
    </row>
    <row r="67" spans="1:9" x14ac:dyDescent="0.25">
      <c r="A67" s="1" t="s">
        <v>34</v>
      </c>
      <c r="B67" s="1">
        <v>7.9282407407407218E-3</v>
      </c>
      <c r="D67" s="1">
        <v>7.4537037037036846E-3</v>
      </c>
      <c r="G67" s="1">
        <f t="shared" ref="G67:G130" si="2">B67-D67</f>
        <v>4.745370370370372E-4</v>
      </c>
      <c r="I67" s="2">
        <f t="shared" ref="I67:I130" si="3">G67*1440</f>
        <v>0.68333333333333357</v>
      </c>
    </row>
    <row r="68" spans="1:9" x14ac:dyDescent="0.25">
      <c r="A68" s="1" t="s">
        <v>34</v>
      </c>
      <c r="B68" s="1">
        <v>9.1782407407408062E-3</v>
      </c>
      <c r="D68" s="1">
        <v>8.2407407407407707E-3</v>
      </c>
      <c r="G68" s="1">
        <f t="shared" si="2"/>
        <v>9.3750000000003553E-4</v>
      </c>
      <c r="I68" s="2">
        <f t="shared" si="3"/>
        <v>1.3500000000000512</v>
      </c>
    </row>
    <row r="69" spans="1:9" x14ac:dyDescent="0.25">
      <c r="A69" s="1" t="s">
        <v>34</v>
      </c>
      <c r="B69" s="1">
        <v>3.2523148148148051E-2</v>
      </c>
      <c r="D69" s="1">
        <v>7.5578703703703676E-3</v>
      </c>
      <c r="G69" s="1">
        <f t="shared" si="2"/>
        <v>2.4965277777777684E-2</v>
      </c>
      <c r="I69" s="2">
        <f t="shared" si="3"/>
        <v>35.949999999999861</v>
      </c>
    </row>
    <row r="70" spans="1:9" x14ac:dyDescent="0.25">
      <c r="A70" s="1" t="s">
        <v>34</v>
      </c>
      <c r="B70" s="1">
        <v>1.0972222222222272E-2</v>
      </c>
      <c r="D70" s="1">
        <v>1.0173611111111147E-2</v>
      </c>
      <c r="G70" s="1">
        <f t="shared" si="2"/>
        <v>7.9861111111112493E-4</v>
      </c>
      <c r="I70" s="2">
        <f t="shared" si="3"/>
        <v>1.1500000000000199</v>
      </c>
    </row>
    <row r="71" spans="1:9" x14ac:dyDescent="0.25">
      <c r="A71" s="1" t="s">
        <v>34</v>
      </c>
      <c r="B71" s="1">
        <v>1.0219907407407414E-2</v>
      </c>
      <c r="D71" s="1">
        <v>7.8819444444444553E-3</v>
      </c>
      <c r="G71" s="1">
        <f t="shared" si="2"/>
        <v>2.3379629629629584E-3</v>
      </c>
      <c r="I71" s="2">
        <f t="shared" si="3"/>
        <v>3.36666666666666</v>
      </c>
    </row>
    <row r="72" spans="1:9" x14ac:dyDescent="0.25">
      <c r="A72" s="1" t="s">
        <v>34</v>
      </c>
      <c r="B72" s="1">
        <v>1.0254629629629641E-2</v>
      </c>
      <c r="D72" s="1">
        <v>8.6342592592592027E-3</v>
      </c>
      <c r="G72" s="1">
        <f t="shared" si="2"/>
        <v>1.6203703703704386E-3</v>
      </c>
      <c r="I72" s="2">
        <f t="shared" si="3"/>
        <v>2.3333333333334316</v>
      </c>
    </row>
    <row r="73" spans="1:9" x14ac:dyDescent="0.25">
      <c r="A73" s="1" t="s">
        <v>34</v>
      </c>
      <c r="B73" s="1">
        <v>2.0474537037037055E-2</v>
      </c>
      <c r="D73" s="1">
        <v>1.0439814814814818E-2</v>
      </c>
      <c r="G73" s="1">
        <f t="shared" si="2"/>
        <v>1.0034722222222237E-2</v>
      </c>
      <c r="I73" s="2">
        <f t="shared" si="3"/>
        <v>14.450000000000021</v>
      </c>
    </row>
    <row r="74" spans="1:9" x14ac:dyDescent="0.25">
      <c r="A74" s="1" t="s">
        <v>34</v>
      </c>
      <c r="B74" s="1">
        <v>3.1273148148148189E-2</v>
      </c>
      <c r="D74" s="1">
        <v>2.9872685185185155E-2</v>
      </c>
      <c r="G74" s="1">
        <f t="shared" si="2"/>
        <v>1.4004629629630339E-3</v>
      </c>
      <c r="I74" s="2">
        <f t="shared" si="3"/>
        <v>2.0166666666667687</v>
      </c>
    </row>
    <row r="75" spans="1:9" x14ac:dyDescent="0.25">
      <c r="A75" s="1" t="s">
        <v>34</v>
      </c>
      <c r="B75" s="1">
        <v>1.3125000000000053E-2</v>
      </c>
      <c r="D75" s="1">
        <v>7.7430555555555447E-3</v>
      </c>
      <c r="G75" s="1">
        <f t="shared" si="2"/>
        <v>5.3819444444445086E-3</v>
      </c>
      <c r="I75" s="2">
        <f t="shared" si="3"/>
        <v>7.7500000000000924</v>
      </c>
    </row>
    <row r="76" spans="1:9" x14ac:dyDescent="0.25">
      <c r="A76" s="1" t="s">
        <v>34</v>
      </c>
      <c r="B76" s="1">
        <v>1.1192129629629677E-2</v>
      </c>
      <c r="D76" s="1">
        <v>9.7569444444444153E-3</v>
      </c>
      <c r="G76" s="1">
        <f t="shared" si="2"/>
        <v>1.4351851851852615E-3</v>
      </c>
      <c r="I76" s="2">
        <f t="shared" si="3"/>
        <v>2.0666666666667766</v>
      </c>
    </row>
    <row r="77" spans="1:9" x14ac:dyDescent="0.25">
      <c r="A77" s="1" t="s">
        <v>34</v>
      </c>
      <c r="B77" s="1">
        <v>1.5000000000000013E-2</v>
      </c>
      <c r="D77" s="1">
        <v>1.3969907407407445E-2</v>
      </c>
      <c r="G77" s="1">
        <f t="shared" si="2"/>
        <v>1.0300925925925686E-3</v>
      </c>
      <c r="I77" s="2">
        <f t="shared" si="3"/>
        <v>1.4833333333332988</v>
      </c>
    </row>
    <row r="78" spans="1:9" x14ac:dyDescent="0.25">
      <c r="A78" s="1" t="s">
        <v>34</v>
      </c>
      <c r="B78" s="1">
        <v>1.4409722222222254E-2</v>
      </c>
      <c r="D78" s="1">
        <v>1.2766203703703627E-2</v>
      </c>
      <c r="G78" s="1">
        <f t="shared" si="2"/>
        <v>1.6435185185186274E-3</v>
      </c>
      <c r="I78" s="2">
        <f t="shared" si="3"/>
        <v>2.3666666666668235</v>
      </c>
    </row>
    <row r="79" spans="1:9" x14ac:dyDescent="0.25">
      <c r="A79" s="1" t="s">
        <v>34</v>
      </c>
      <c r="B79" s="1">
        <v>1.5011574074074052E-2</v>
      </c>
      <c r="D79" s="1">
        <v>1.0474537037037046E-2</v>
      </c>
      <c r="G79" s="1">
        <f t="shared" si="2"/>
        <v>4.5370370370370061E-3</v>
      </c>
      <c r="I79" s="2">
        <f t="shared" si="3"/>
        <v>6.5333333333332888</v>
      </c>
    </row>
    <row r="80" spans="1:9" x14ac:dyDescent="0.25">
      <c r="A80" s="1" t="s">
        <v>34</v>
      </c>
      <c r="B80" s="1">
        <v>2.690972222222221E-2</v>
      </c>
      <c r="D80" s="1">
        <v>2.5543981481481515E-2</v>
      </c>
      <c r="G80" s="1">
        <f t="shared" si="2"/>
        <v>1.3657407407406952E-3</v>
      </c>
      <c r="I80" s="2">
        <f t="shared" si="3"/>
        <v>1.9666666666666011</v>
      </c>
    </row>
    <row r="81" spans="1:9" x14ac:dyDescent="0.25">
      <c r="A81" s="1" t="s">
        <v>34</v>
      </c>
      <c r="B81" s="1">
        <v>1.2395833333333384E-2</v>
      </c>
      <c r="D81" s="1">
        <v>8.3680555555555314E-3</v>
      </c>
      <c r="G81" s="1">
        <f t="shared" si="2"/>
        <v>4.0277777777778523E-3</v>
      </c>
      <c r="I81" s="2">
        <f t="shared" si="3"/>
        <v>5.8000000000001073</v>
      </c>
    </row>
    <row r="82" spans="1:9" x14ac:dyDescent="0.25">
      <c r="A82" s="1" t="s">
        <v>34</v>
      </c>
      <c r="B82" s="1">
        <v>1.1666666666666714E-2</v>
      </c>
      <c r="D82" s="1">
        <v>9.201388888888884E-3</v>
      </c>
      <c r="G82" s="1">
        <f t="shared" si="2"/>
        <v>2.4652777777778301E-3</v>
      </c>
      <c r="I82" s="2">
        <f t="shared" si="3"/>
        <v>3.5500000000000753</v>
      </c>
    </row>
    <row r="83" spans="1:9" x14ac:dyDescent="0.25">
      <c r="A83" s="1" t="s">
        <v>34</v>
      </c>
      <c r="B83" s="1">
        <v>9.1550925925926174E-3</v>
      </c>
      <c r="D83" s="1">
        <v>7.9976851851851771E-3</v>
      </c>
      <c r="G83" s="1">
        <f t="shared" si="2"/>
        <v>1.1574074074074403E-3</v>
      </c>
      <c r="I83" s="2">
        <f t="shared" si="3"/>
        <v>1.666666666666714</v>
      </c>
    </row>
    <row r="84" spans="1:9" x14ac:dyDescent="0.25">
      <c r="A84" s="1" t="s">
        <v>34</v>
      </c>
      <c r="B84" s="1">
        <v>1.0324074074074097E-2</v>
      </c>
      <c r="D84" s="1">
        <v>8.8888888888888351E-3</v>
      </c>
      <c r="G84" s="1">
        <f t="shared" si="2"/>
        <v>1.4351851851852615E-3</v>
      </c>
      <c r="I84" s="2">
        <f t="shared" si="3"/>
        <v>2.0666666666667766</v>
      </c>
    </row>
    <row r="85" spans="1:9" x14ac:dyDescent="0.25">
      <c r="A85" s="1" t="s">
        <v>34</v>
      </c>
      <c r="B85" s="1">
        <v>1.6307870370370403E-2</v>
      </c>
      <c r="D85" s="1">
        <v>1.4826388888888875E-2</v>
      </c>
      <c r="G85" s="1">
        <f t="shared" si="2"/>
        <v>1.481481481481528E-3</v>
      </c>
      <c r="I85" s="2">
        <f t="shared" si="3"/>
        <v>2.1333333333334004</v>
      </c>
    </row>
    <row r="86" spans="1:9" x14ac:dyDescent="0.25">
      <c r="A86" s="1" t="s">
        <v>34</v>
      </c>
      <c r="B86" s="1">
        <v>1.3773148148148173E-2</v>
      </c>
      <c r="D86" s="1">
        <v>8.8888888888888906E-3</v>
      </c>
      <c r="G86" s="1">
        <f t="shared" si="2"/>
        <v>4.8842592592592826E-3</v>
      </c>
      <c r="I86" s="2">
        <f t="shared" si="3"/>
        <v>7.033333333333367</v>
      </c>
    </row>
    <row r="87" spans="1:9" x14ac:dyDescent="0.25">
      <c r="A87" s="1" t="s">
        <v>34</v>
      </c>
      <c r="B87" s="1">
        <v>2.0277777777777783E-2</v>
      </c>
      <c r="D87" s="1">
        <v>1.4178240740740811E-2</v>
      </c>
      <c r="G87" s="1">
        <f t="shared" si="2"/>
        <v>6.0995370370369728E-3</v>
      </c>
      <c r="I87" s="2">
        <f t="shared" si="3"/>
        <v>8.7833333333332408</v>
      </c>
    </row>
    <row r="88" spans="1:9" x14ac:dyDescent="0.25">
      <c r="A88" s="1" t="s">
        <v>34</v>
      </c>
      <c r="B88" s="1">
        <v>1.6921296296296351E-2</v>
      </c>
      <c r="D88" s="1">
        <v>1.3576388888888902E-2</v>
      </c>
      <c r="G88" s="1">
        <f t="shared" si="2"/>
        <v>3.3449074074074492E-3</v>
      </c>
      <c r="I88" s="2">
        <f t="shared" si="3"/>
        <v>4.8166666666667268</v>
      </c>
    </row>
    <row r="89" spans="1:9" x14ac:dyDescent="0.25">
      <c r="A89" s="1" t="s">
        <v>34</v>
      </c>
      <c r="B89" s="1">
        <v>1.8726851851851856E-2</v>
      </c>
      <c r="D89" s="1">
        <v>1.1377314814814743E-2</v>
      </c>
      <c r="G89" s="1">
        <f t="shared" si="2"/>
        <v>7.3495370370371127E-3</v>
      </c>
      <c r="I89" s="2">
        <f t="shared" si="3"/>
        <v>10.583333333333442</v>
      </c>
    </row>
    <row r="90" spans="1:9" x14ac:dyDescent="0.25">
      <c r="A90" s="1" t="s">
        <v>34</v>
      </c>
      <c r="B90" s="1">
        <v>1.8032407407407414E-2</v>
      </c>
      <c r="D90" s="1">
        <v>1.6874999999999973E-2</v>
      </c>
      <c r="G90" s="1">
        <f t="shared" si="2"/>
        <v>1.1574074074074403E-3</v>
      </c>
      <c r="I90" s="2">
        <f t="shared" si="3"/>
        <v>1.666666666666714</v>
      </c>
    </row>
    <row r="91" spans="1:9" x14ac:dyDescent="0.25">
      <c r="A91" s="1" t="s">
        <v>34</v>
      </c>
      <c r="B91" s="1">
        <v>8.9814814814814792E-3</v>
      </c>
      <c r="D91" s="1">
        <v>6.2152777777777501E-3</v>
      </c>
      <c r="G91" s="1">
        <f t="shared" si="2"/>
        <v>2.766203703703729E-3</v>
      </c>
      <c r="I91" s="2">
        <f t="shared" si="3"/>
        <v>3.9833333333333698</v>
      </c>
    </row>
    <row r="92" spans="1:9" x14ac:dyDescent="0.25">
      <c r="A92" s="1" t="s">
        <v>34</v>
      </c>
      <c r="B92" s="1">
        <v>2.5138888888888822E-2</v>
      </c>
      <c r="D92" s="1">
        <v>8.3796296296296813E-3</v>
      </c>
      <c r="G92" s="1">
        <f t="shared" si="2"/>
        <v>1.6759259259259141E-2</v>
      </c>
      <c r="I92" s="2">
        <f t="shared" si="3"/>
        <v>24.133333333333162</v>
      </c>
    </row>
    <row r="93" spans="1:9" x14ac:dyDescent="0.25">
      <c r="A93" s="1" t="s">
        <v>34</v>
      </c>
      <c r="B93" s="1">
        <v>1.8113425925925908E-2</v>
      </c>
      <c r="D93" s="1">
        <v>1.2418981481481572E-2</v>
      </c>
      <c r="G93" s="1">
        <f t="shared" si="2"/>
        <v>5.6944444444443354E-3</v>
      </c>
      <c r="I93" s="2">
        <f t="shared" si="3"/>
        <v>8.199999999999843</v>
      </c>
    </row>
    <row r="94" spans="1:9" x14ac:dyDescent="0.25">
      <c r="A94" s="1" t="s">
        <v>34</v>
      </c>
      <c r="B94" s="1">
        <v>1.6469907407407391E-2</v>
      </c>
      <c r="D94" s="1">
        <v>8.9583333333334014E-3</v>
      </c>
      <c r="G94" s="1">
        <f t="shared" si="2"/>
        <v>7.51157407407399E-3</v>
      </c>
      <c r="I94" s="2">
        <f t="shared" si="3"/>
        <v>10.816666666666546</v>
      </c>
    </row>
    <row r="95" spans="1:9" x14ac:dyDescent="0.25">
      <c r="A95" s="1" t="s">
        <v>34</v>
      </c>
      <c r="B95" s="1">
        <v>1.40393518518519E-2</v>
      </c>
      <c r="D95" s="1">
        <v>1.1898148148148158E-2</v>
      </c>
      <c r="G95" s="1">
        <f t="shared" si="2"/>
        <v>2.1412037037037424E-3</v>
      </c>
      <c r="I95" s="2">
        <f t="shared" si="3"/>
        <v>3.083333333333389</v>
      </c>
    </row>
    <row r="96" spans="1:9" x14ac:dyDescent="0.25">
      <c r="A96" s="1" t="s">
        <v>34</v>
      </c>
      <c r="B96" s="1">
        <v>1.5960648148148238E-2</v>
      </c>
      <c r="D96" s="1">
        <v>1.0324074074074097E-2</v>
      </c>
      <c r="G96" s="1">
        <f t="shared" si="2"/>
        <v>5.636574074074141E-3</v>
      </c>
      <c r="I96" s="2">
        <f t="shared" si="3"/>
        <v>8.1166666666667631</v>
      </c>
    </row>
    <row r="97" spans="1:9" x14ac:dyDescent="0.25">
      <c r="A97" s="1" t="s">
        <v>34</v>
      </c>
      <c r="B97" s="1">
        <v>1.7152777777777795E-2</v>
      </c>
      <c r="D97" s="1">
        <v>5.8449074074073959E-3</v>
      </c>
      <c r="G97" s="1">
        <f t="shared" si="2"/>
        <v>1.1307870370370399E-2</v>
      </c>
      <c r="I97" s="2">
        <f t="shared" si="3"/>
        <v>16.283333333333374</v>
      </c>
    </row>
    <row r="98" spans="1:9" x14ac:dyDescent="0.25">
      <c r="A98" s="1" t="s">
        <v>34</v>
      </c>
      <c r="B98" s="1">
        <v>1.2789351851851816E-2</v>
      </c>
      <c r="D98" s="1">
        <v>1.1145833333333299E-2</v>
      </c>
      <c r="G98" s="1">
        <f t="shared" si="2"/>
        <v>1.6435185185185164E-3</v>
      </c>
      <c r="I98" s="2">
        <f t="shared" si="3"/>
        <v>2.3666666666666636</v>
      </c>
    </row>
    <row r="99" spans="1:9" x14ac:dyDescent="0.25">
      <c r="A99" s="1" t="s">
        <v>34</v>
      </c>
      <c r="B99" s="1">
        <v>1.214120370370364E-2</v>
      </c>
      <c r="D99" s="1">
        <v>1.0567129629629579E-2</v>
      </c>
      <c r="G99" s="1">
        <f t="shared" si="2"/>
        <v>1.5740740740740611E-3</v>
      </c>
      <c r="I99" s="2">
        <f t="shared" si="3"/>
        <v>2.266666666666648</v>
      </c>
    </row>
    <row r="100" spans="1:9" x14ac:dyDescent="0.25">
      <c r="A100" s="1" t="s">
        <v>34</v>
      </c>
      <c r="B100" s="1">
        <v>2.0555555555555549E-2</v>
      </c>
      <c r="D100" s="1">
        <v>1.8402777777777768E-2</v>
      </c>
      <c r="G100" s="1">
        <f t="shared" si="2"/>
        <v>2.1527777777777812E-3</v>
      </c>
      <c r="I100" s="2">
        <f t="shared" si="3"/>
        <v>3.100000000000005</v>
      </c>
    </row>
    <row r="101" spans="1:9" x14ac:dyDescent="0.25">
      <c r="A101" s="1" t="s">
        <v>34</v>
      </c>
      <c r="B101" s="1">
        <v>1.5231481481481457E-2</v>
      </c>
      <c r="D101" s="1">
        <v>1.3460648148148069E-2</v>
      </c>
      <c r="G101" s="1">
        <f t="shared" si="2"/>
        <v>1.7708333333333881E-3</v>
      </c>
      <c r="I101" s="2">
        <f t="shared" si="3"/>
        <v>2.5500000000000789</v>
      </c>
    </row>
    <row r="102" spans="1:9" x14ac:dyDescent="0.25">
      <c r="A102" s="1" t="s">
        <v>34</v>
      </c>
      <c r="B102" s="1">
        <v>1.635416666666667E-2</v>
      </c>
      <c r="D102" s="1">
        <v>1.5567129629629695E-2</v>
      </c>
      <c r="G102" s="1">
        <f t="shared" si="2"/>
        <v>7.8703703703697503E-4</v>
      </c>
      <c r="I102" s="2">
        <f t="shared" si="3"/>
        <v>1.133333333333244</v>
      </c>
    </row>
    <row r="103" spans="1:9" x14ac:dyDescent="0.25">
      <c r="A103" s="1" t="s">
        <v>34</v>
      </c>
      <c r="B103" s="1">
        <v>2.4351851851851847E-2</v>
      </c>
      <c r="D103" s="1">
        <v>2.335648148148145E-2</v>
      </c>
      <c r="G103" s="1">
        <f t="shared" si="2"/>
        <v>9.9537037037039644E-4</v>
      </c>
      <c r="I103" s="2">
        <f t="shared" si="3"/>
        <v>1.4333333333333709</v>
      </c>
    </row>
    <row r="104" spans="1:9" x14ac:dyDescent="0.25">
      <c r="A104" s="1" t="s">
        <v>34</v>
      </c>
      <c r="B104" s="1">
        <v>1.2268518518518567E-2</v>
      </c>
      <c r="D104" s="1">
        <v>7.4189814814815125E-3</v>
      </c>
      <c r="G104" s="1">
        <f t="shared" si="2"/>
        <v>4.849537037037055E-3</v>
      </c>
      <c r="I104" s="2">
        <f t="shared" si="3"/>
        <v>6.9833333333333591</v>
      </c>
    </row>
    <row r="105" spans="1:9" x14ac:dyDescent="0.25">
      <c r="A105" s="1" t="s">
        <v>34</v>
      </c>
      <c r="B105" s="1">
        <v>1.1712962962962981E-2</v>
      </c>
      <c r="D105" s="1">
        <v>8.7384259259259411E-3</v>
      </c>
      <c r="G105" s="1">
        <f t="shared" si="2"/>
        <v>2.9745370370370394E-3</v>
      </c>
      <c r="I105" s="2">
        <f t="shared" si="3"/>
        <v>4.2833333333333368</v>
      </c>
    </row>
    <row r="106" spans="1:9" x14ac:dyDescent="0.25">
      <c r="A106" s="1" t="s">
        <v>34</v>
      </c>
      <c r="B106" s="1">
        <v>8.0902777777777657E-3</v>
      </c>
      <c r="D106" s="1">
        <v>7.0486111111111582E-3</v>
      </c>
      <c r="G106" s="1">
        <f t="shared" si="2"/>
        <v>1.0416666666666075E-3</v>
      </c>
      <c r="I106" s="2">
        <f t="shared" si="3"/>
        <v>1.4999999999999147</v>
      </c>
    </row>
    <row r="107" spans="1:9" x14ac:dyDescent="0.25">
      <c r="A107" s="1" t="s">
        <v>34</v>
      </c>
      <c r="B107" s="1">
        <v>7.9629629629629495E-3</v>
      </c>
      <c r="D107" s="1">
        <v>6.6898148148147873E-3</v>
      </c>
      <c r="G107" s="1">
        <f t="shared" si="2"/>
        <v>1.2731481481481621E-3</v>
      </c>
      <c r="I107" s="2">
        <f t="shared" si="3"/>
        <v>1.8333333333333535</v>
      </c>
    </row>
    <row r="108" spans="1:9" x14ac:dyDescent="0.25">
      <c r="A108" s="1" t="s">
        <v>34</v>
      </c>
      <c r="B108" s="1">
        <v>8.7037037037037135E-3</v>
      </c>
      <c r="D108" s="1">
        <v>7.4768518518518734E-3</v>
      </c>
      <c r="G108" s="1">
        <f t="shared" si="2"/>
        <v>1.2268518518518401E-3</v>
      </c>
      <c r="I108" s="2">
        <f t="shared" si="3"/>
        <v>1.7666666666666497</v>
      </c>
    </row>
    <row r="109" spans="1:9" x14ac:dyDescent="0.25">
      <c r="A109" s="1" t="s">
        <v>34</v>
      </c>
      <c r="B109" s="1">
        <v>8.055555555555538E-3</v>
      </c>
      <c r="D109" s="1">
        <v>6.4930555555555713E-3</v>
      </c>
      <c r="G109" s="1">
        <f t="shared" si="2"/>
        <v>1.5624999999999667E-3</v>
      </c>
      <c r="I109" s="2">
        <f t="shared" si="3"/>
        <v>2.249999999999952</v>
      </c>
    </row>
    <row r="110" spans="1:9" x14ac:dyDescent="0.25">
      <c r="A110" s="1" t="s">
        <v>34</v>
      </c>
      <c r="B110" s="1">
        <v>1.6145833333333415E-2</v>
      </c>
      <c r="D110" s="1">
        <v>1.4837962962963025E-2</v>
      </c>
      <c r="G110" s="1">
        <f t="shared" si="2"/>
        <v>1.3078703703703898E-3</v>
      </c>
      <c r="I110" s="2">
        <f t="shared" si="3"/>
        <v>1.8833333333333613</v>
      </c>
    </row>
    <row r="111" spans="1:9" x14ac:dyDescent="0.25">
      <c r="A111" s="1" t="s">
        <v>34</v>
      </c>
      <c r="B111" s="1">
        <v>1.1712962962962981E-2</v>
      </c>
      <c r="D111" s="1">
        <v>1.0752314814814756E-2</v>
      </c>
      <c r="G111" s="1">
        <f t="shared" si="2"/>
        <v>9.606481481482243E-4</v>
      </c>
      <c r="I111" s="2">
        <f t="shared" si="3"/>
        <v>1.383333333333443</v>
      </c>
    </row>
    <row r="112" spans="1:9" x14ac:dyDescent="0.25">
      <c r="A112" s="1" t="s">
        <v>34</v>
      </c>
      <c r="B112" s="1">
        <v>7.2569444444444686E-3</v>
      </c>
      <c r="D112" s="1">
        <v>5.8796296296297346E-3</v>
      </c>
      <c r="G112" s="1">
        <f t="shared" si="2"/>
        <v>1.3773148148147341E-3</v>
      </c>
      <c r="I112" s="2">
        <f t="shared" si="3"/>
        <v>1.983333333333217</v>
      </c>
    </row>
    <row r="113" spans="1:9" x14ac:dyDescent="0.25">
      <c r="A113" s="1" t="s">
        <v>34</v>
      </c>
      <c r="B113" s="1">
        <v>7.9861111111110272E-3</v>
      </c>
      <c r="D113" s="1">
        <v>6.527777777777799E-3</v>
      </c>
      <c r="G113" s="1">
        <f t="shared" si="2"/>
        <v>1.4583333333332282E-3</v>
      </c>
      <c r="I113" s="2">
        <f t="shared" si="3"/>
        <v>2.0999999999998487</v>
      </c>
    </row>
    <row r="114" spans="1:9" x14ac:dyDescent="0.25">
      <c r="A114" s="1" t="s">
        <v>34</v>
      </c>
      <c r="B114" s="1">
        <v>9.5138888888888218E-3</v>
      </c>
      <c r="D114" s="1">
        <v>8.3564814814814925E-3</v>
      </c>
      <c r="G114" s="1">
        <f t="shared" si="2"/>
        <v>1.1574074074073293E-3</v>
      </c>
      <c r="I114" s="2">
        <f t="shared" si="3"/>
        <v>1.6666666666665542</v>
      </c>
    </row>
    <row r="115" spans="1:9" x14ac:dyDescent="0.25">
      <c r="A115" s="1" t="s">
        <v>34</v>
      </c>
      <c r="B115" s="1">
        <v>1.2893518518518499E-2</v>
      </c>
      <c r="D115" s="1">
        <v>1.1527777777777803E-2</v>
      </c>
      <c r="G115" s="1">
        <f t="shared" si="2"/>
        <v>1.3657407407406952E-3</v>
      </c>
      <c r="I115" s="2">
        <f t="shared" si="3"/>
        <v>1.9666666666666011</v>
      </c>
    </row>
    <row r="116" spans="1:9" x14ac:dyDescent="0.25">
      <c r="A116" s="1" t="s">
        <v>34</v>
      </c>
      <c r="B116" s="1">
        <v>1.4016203703703711E-2</v>
      </c>
      <c r="D116" s="1">
        <v>1.2233796296296284E-2</v>
      </c>
      <c r="G116" s="1">
        <f t="shared" si="2"/>
        <v>1.782407407407427E-3</v>
      </c>
      <c r="I116" s="2">
        <f t="shared" si="3"/>
        <v>2.5666666666666949</v>
      </c>
    </row>
    <row r="117" spans="1:9" x14ac:dyDescent="0.25">
      <c r="A117" s="1" t="s">
        <v>34</v>
      </c>
      <c r="B117" s="1">
        <v>1.216435185185194E-2</v>
      </c>
      <c r="D117" s="1">
        <v>1.0081018518518503E-2</v>
      </c>
      <c r="G117" s="1">
        <f t="shared" si="2"/>
        <v>2.083333333333437E-3</v>
      </c>
      <c r="I117" s="2">
        <f t="shared" si="3"/>
        <v>3.0000000000001492</v>
      </c>
    </row>
    <row r="118" spans="1:9" x14ac:dyDescent="0.25">
      <c r="A118" s="1" t="s">
        <v>34</v>
      </c>
      <c r="B118" s="1">
        <v>8.8078703703703409E-3</v>
      </c>
      <c r="D118" s="1">
        <v>6.5972222222222543E-3</v>
      </c>
      <c r="G118" s="1">
        <f t="shared" si="2"/>
        <v>2.2106481481480866E-3</v>
      </c>
      <c r="I118" s="2">
        <f t="shared" si="3"/>
        <v>3.1833333333332448</v>
      </c>
    </row>
    <row r="119" spans="1:9" x14ac:dyDescent="0.25">
      <c r="A119" s="1" t="s">
        <v>34</v>
      </c>
      <c r="B119" s="1">
        <v>8.6458333333332416E-3</v>
      </c>
      <c r="D119" s="1">
        <v>7.3379629629629628E-3</v>
      </c>
      <c r="G119" s="1">
        <f t="shared" si="2"/>
        <v>1.3078703703702788E-3</v>
      </c>
      <c r="I119" s="2">
        <f t="shared" si="3"/>
        <v>1.8833333333332014</v>
      </c>
    </row>
    <row r="120" spans="1:9" x14ac:dyDescent="0.25">
      <c r="A120" s="1" t="s">
        <v>34</v>
      </c>
      <c r="B120" s="1">
        <v>9.2592592592593004E-3</v>
      </c>
      <c r="D120" s="1">
        <v>7.5694444444444065E-3</v>
      </c>
      <c r="G120" s="1">
        <f t="shared" si="2"/>
        <v>1.6898148148148939E-3</v>
      </c>
      <c r="I120" s="2">
        <f t="shared" si="3"/>
        <v>2.4333333333334473</v>
      </c>
    </row>
    <row r="121" spans="1:9" x14ac:dyDescent="0.25">
      <c r="A121" s="1" t="s">
        <v>34</v>
      </c>
      <c r="B121" s="1">
        <v>8.3333333333333592E-3</v>
      </c>
      <c r="D121" s="1">
        <v>6.1921296296296169E-3</v>
      </c>
      <c r="G121" s="1">
        <f t="shared" si="2"/>
        <v>2.1412037037037424E-3</v>
      </c>
      <c r="I121" s="2">
        <f t="shared" si="3"/>
        <v>3.083333333333389</v>
      </c>
    </row>
    <row r="122" spans="1:9" x14ac:dyDescent="0.25">
      <c r="A122" s="1" t="s">
        <v>34</v>
      </c>
      <c r="B122" s="1">
        <v>7.2685185185185075E-3</v>
      </c>
      <c r="D122" s="1">
        <v>5.9143518518518512E-3</v>
      </c>
      <c r="G122" s="1">
        <f t="shared" si="2"/>
        <v>1.3541666666666563E-3</v>
      </c>
      <c r="I122" s="2">
        <f t="shared" si="3"/>
        <v>1.9499999999999851</v>
      </c>
    </row>
    <row r="123" spans="1:9" x14ac:dyDescent="0.25">
      <c r="A123" s="1" t="s">
        <v>34</v>
      </c>
      <c r="B123" s="1">
        <v>9.6412037037036935E-3</v>
      </c>
      <c r="D123" s="1">
        <v>7.5925925925925952E-3</v>
      </c>
      <c r="G123" s="1">
        <f t="shared" si="2"/>
        <v>2.0486111111110983E-3</v>
      </c>
      <c r="I123" s="2">
        <f t="shared" si="3"/>
        <v>2.9499999999999815</v>
      </c>
    </row>
    <row r="124" spans="1:9" x14ac:dyDescent="0.25">
      <c r="A124" s="1" t="s">
        <v>34</v>
      </c>
      <c r="B124" s="1">
        <v>1.6273148148148175E-2</v>
      </c>
      <c r="D124" s="1">
        <v>1.2245370370370434E-2</v>
      </c>
      <c r="G124" s="1">
        <f t="shared" si="2"/>
        <v>4.0277777777777413E-3</v>
      </c>
      <c r="I124" s="2">
        <f t="shared" si="3"/>
        <v>5.7999999999999474</v>
      </c>
    </row>
    <row r="125" spans="1:9" x14ac:dyDescent="0.25">
      <c r="A125" s="1" t="s">
        <v>34</v>
      </c>
      <c r="B125" s="1">
        <v>1.7407407407407427E-2</v>
      </c>
      <c r="D125" s="1">
        <v>1.489583333333333E-2</v>
      </c>
      <c r="G125" s="1">
        <f t="shared" si="2"/>
        <v>2.5115740740740966E-3</v>
      </c>
      <c r="I125" s="2">
        <f t="shared" si="3"/>
        <v>3.6166666666666991</v>
      </c>
    </row>
    <row r="126" spans="1:9" x14ac:dyDescent="0.25">
      <c r="A126" s="1" t="s">
        <v>34</v>
      </c>
      <c r="B126" s="1">
        <v>2.9143518518518485E-2</v>
      </c>
      <c r="D126" s="1">
        <v>1.2407407407407423E-2</v>
      </c>
      <c r="G126" s="1">
        <f t="shared" si="2"/>
        <v>1.6736111111111063E-2</v>
      </c>
      <c r="I126" s="2">
        <f t="shared" si="3"/>
        <v>24.09999999999993</v>
      </c>
    </row>
    <row r="127" spans="1:9" x14ac:dyDescent="0.25">
      <c r="A127" s="1" t="s">
        <v>34</v>
      </c>
      <c r="B127" s="1">
        <v>6.6319444444443709E-3</v>
      </c>
      <c r="D127" s="1">
        <v>5.8101851851851682E-3</v>
      </c>
      <c r="G127" s="1">
        <f t="shared" si="2"/>
        <v>8.2175925925920268E-4</v>
      </c>
      <c r="I127" s="2">
        <f t="shared" si="3"/>
        <v>1.1833333333332519</v>
      </c>
    </row>
    <row r="128" spans="1:9" x14ac:dyDescent="0.25">
      <c r="A128" s="1" t="s">
        <v>34</v>
      </c>
      <c r="B128" s="1">
        <v>9.3402777777777946E-3</v>
      </c>
      <c r="D128" s="1">
        <v>7.7662037037037335E-3</v>
      </c>
      <c r="G128" s="1">
        <f t="shared" si="2"/>
        <v>1.5740740740740611E-3</v>
      </c>
      <c r="I128" s="2">
        <f t="shared" si="3"/>
        <v>2.266666666666648</v>
      </c>
    </row>
    <row r="129" spans="1:9" x14ac:dyDescent="0.25">
      <c r="A129" s="1" t="s">
        <v>34</v>
      </c>
      <c r="B129" s="1">
        <v>2.4398148148148224E-2</v>
      </c>
      <c r="D129" s="1">
        <v>2.2905092592592546E-2</v>
      </c>
      <c r="G129" s="1">
        <f t="shared" si="2"/>
        <v>1.4930555555556779E-3</v>
      </c>
      <c r="I129" s="2">
        <f t="shared" si="3"/>
        <v>2.1500000000001762</v>
      </c>
    </row>
    <row r="130" spans="1:9" x14ac:dyDescent="0.25">
      <c r="A130" s="1" t="s">
        <v>34</v>
      </c>
      <c r="B130" s="1">
        <v>1.9687499999999969E-2</v>
      </c>
      <c r="D130" s="1">
        <v>1.5289351851851762E-2</v>
      </c>
      <c r="G130" s="1">
        <f t="shared" si="2"/>
        <v>4.3981481481482065E-3</v>
      </c>
      <c r="I130" s="2">
        <f t="shared" si="3"/>
        <v>6.3333333333334174</v>
      </c>
    </row>
    <row r="131" spans="1:9" x14ac:dyDescent="0.25">
      <c r="A131" s="1" t="s">
        <v>34</v>
      </c>
      <c r="B131" s="1">
        <v>1.026620370370368E-2</v>
      </c>
      <c r="D131" s="1">
        <v>6.7476851851852038E-3</v>
      </c>
      <c r="G131" s="1">
        <f t="shared" ref="G131:G194" si="4">B131-D131</f>
        <v>3.5185185185184764E-3</v>
      </c>
      <c r="I131" s="2">
        <f t="shared" ref="I131:I194" si="5">G131*1440</f>
        <v>5.066666666666606</v>
      </c>
    </row>
    <row r="132" spans="1:9" x14ac:dyDescent="0.25">
      <c r="A132" s="1" t="s">
        <v>34</v>
      </c>
      <c r="B132" s="1">
        <v>8.2870370370370372E-3</v>
      </c>
      <c r="D132" s="1">
        <v>5.6828703703704075E-3</v>
      </c>
      <c r="G132" s="1">
        <f t="shared" si="4"/>
        <v>2.6041666666666297E-3</v>
      </c>
      <c r="I132" s="2">
        <f t="shared" si="5"/>
        <v>3.7499999999999467</v>
      </c>
    </row>
    <row r="133" spans="1:9" x14ac:dyDescent="0.25">
      <c r="A133" s="1" t="s">
        <v>34</v>
      </c>
      <c r="B133" s="1">
        <v>1.3414351851851858E-2</v>
      </c>
      <c r="D133" s="1">
        <v>1.055555555555554E-2</v>
      </c>
      <c r="G133" s="1">
        <f t="shared" si="4"/>
        <v>2.8587962962963176E-3</v>
      </c>
      <c r="I133" s="2">
        <f t="shared" si="5"/>
        <v>4.1166666666666973</v>
      </c>
    </row>
    <row r="134" spans="1:9" x14ac:dyDescent="0.25">
      <c r="A134" s="1" t="s">
        <v>34</v>
      </c>
      <c r="B134" s="1">
        <v>1.0393518518518496E-2</v>
      </c>
      <c r="D134" s="1">
        <v>8.9120370370370239E-3</v>
      </c>
      <c r="G134" s="1">
        <f t="shared" si="4"/>
        <v>1.4814814814814725E-3</v>
      </c>
      <c r="I134" s="2">
        <f t="shared" si="5"/>
        <v>2.1333333333333204</v>
      </c>
    </row>
    <row r="135" spans="1:9" x14ac:dyDescent="0.25">
      <c r="A135" s="1" t="s">
        <v>34</v>
      </c>
      <c r="B135" s="1">
        <v>1.1238425925925943E-2</v>
      </c>
      <c r="D135" s="1">
        <v>5.8796296296296791E-3</v>
      </c>
      <c r="G135" s="1">
        <f t="shared" si="4"/>
        <v>5.3587962962962643E-3</v>
      </c>
      <c r="I135" s="2">
        <f t="shared" si="5"/>
        <v>7.7166666666666206</v>
      </c>
    </row>
    <row r="136" spans="1:9" x14ac:dyDescent="0.25">
      <c r="A136" s="1" t="s">
        <v>34</v>
      </c>
      <c r="B136" s="1">
        <v>6.4930555555555713E-3</v>
      </c>
      <c r="D136" s="1">
        <v>5.2893518518518645E-3</v>
      </c>
      <c r="G136" s="1">
        <f t="shared" si="4"/>
        <v>1.2037037037037068E-3</v>
      </c>
      <c r="I136" s="2">
        <f t="shared" si="5"/>
        <v>1.7333333333333378</v>
      </c>
    </row>
    <row r="137" spans="1:9" x14ac:dyDescent="0.25">
      <c r="A137" s="1" t="s">
        <v>34</v>
      </c>
      <c r="B137" s="1">
        <v>8.8425925925926241E-3</v>
      </c>
      <c r="D137" s="1">
        <v>7.1527777777777857E-3</v>
      </c>
      <c r="G137" s="1">
        <f t="shared" si="4"/>
        <v>1.6898148148148384E-3</v>
      </c>
      <c r="I137" s="2">
        <f t="shared" si="5"/>
        <v>2.4333333333333673</v>
      </c>
    </row>
    <row r="138" spans="1:9" x14ac:dyDescent="0.25">
      <c r="A138" s="1" t="s">
        <v>34</v>
      </c>
      <c r="B138" s="1">
        <v>1.1319444444444438E-2</v>
      </c>
      <c r="D138" s="1">
        <v>6.3657407407407551E-3</v>
      </c>
      <c r="G138" s="1">
        <f t="shared" si="4"/>
        <v>4.9537037037036824E-3</v>
      </c>
      <c r="I138" s="2">
        <f t="shared" si="5"/>
        <v>7.1333333333333027</v>
      </c>
    </row>
    <row r="139" spans="1:9" x14ac:dyDescent="0.25">
      <c r="A139" s="1" t="s">
        <v>34</v>
      </c>
      <c r="B139" s="1">
        <v>2.5196759259259238E-2</v>
      </c>
      <c r="D139" s="1">
        <v>8.7500000000000355E-3</v>
      </c>
      <c r="G139" s="1">
        <f t="shared" si="4"/>
        <v>1.6446759259259203E-2</v>
      </c>
      <c r="I139" s="2">
        <f t="shared" si="5"/>
        <v>23.683333333333252</v>
      </c>
    </row>
    <row r="140" spans="1:9" x14ac:dyDescent="0.25">
      <c r="A140" s="1" t="s">
        <v>34</v>
      </c>
      <c r="B140" s="1">
        <v>2.7974537037037062E-2</v>
      </c>
      <c r="D140" s="1">
        <v>2.1435185185185168E-2</v>
      </c>
      <c r="G140" s="1">
        <f t="shared" si="4"/>
        <v>6.5393518518518934E-3</v>
      </c>
      <c r="I140" s="2">
        <f t="shared" si="5"/>
        <v>9.4166666666667265</v>
      </c>
    </row>
    <row r="141" spans="1:9" x14ac:dyDescent="0.25">
      <c r="A141" s="1" t="s">
        <v>34</v>
      </c>
      <c r="B141" s="1">
        <v>1.5196759259259229E-2</v>
      </c>
      <c r="D141" s="1">
        <v>1.3483796296296258E-2</v>
      </c>
      <c r="G141" s="1">
        <f t="shared" si="4"/>
        <v>1.7129629629629717E-3</v>
      </c>
      <c r="I141" s="2">
        <f t="shared" si="5"/>
        <v>2.4666666666666792</v>
      </c>
    </row>
    <row r="142" spans="1:9" x14ac:dyDescent="0.25">
      <c r="A142" s="1" t="s">
        <v>34</v>
      </c>
      <c r="B142" s="1">
        <v>1.815972222222223E-2</v>
      </c>
      <c r="D142" s="1">
        <v>1.4826388888888875E-2</v>
      </c>
      <c r="G142" s="1">
        <f t="shared" si="4"/>
        <v>3.3333333333333548E-3</v>
      </c>
      <c r="I142" s="2">
        <f t="shared" si="5"/>
        <v>4.8000000000000309</v>
      </c>
    </row>
    <row r="143" spans="1:9" x14ac:dyDescent="0.25">
      <c r="A143" s="1" t="s">
        <v>34</v>
      </c>
      <c r="B143" s="1">
        <v>3.3240740740740793E-2</v>
      </c>
      <c r="D143" s="1">
        <v>2.9328703703703718E-2</v>
      </c>
      <c r="G143" s="1">
        <f t="shared" si="4"/>
        <v>3.9120370370370749E-3</v>
      </c>
      <c r="I143" s="2">
        <f t="shared" si="5"/>
        <v>5.6333333333333879</v>
      </c>
    </row>
    <row r="144" spans="1:9" x14ac:dyDescent="0.25">
      <c r="A144" s="1" t="s">
        <v>34</v>
      </c>
      <c r="B144" s="1">
        <v>1.6655092592592569E-2</v>
      </c>
      <c r="D144" s="1">
        <v>1.5023148148148091E-2</v>
      </c>
      <c r="G144" s="1">
        <f t="shared" si="4"/>
        <v>1.6319444444444775E-3</v>
      </c>
      <c r="I144" s="2">
        <f t="shared" si="5"/>
        <v>2.3500000000000476</v>
      </c>
    </row>
    <row r="145" spans="1:9" x14ac:dyDescent="0.25">
      <c r="A145" s="1" t="s">
        <v>34</v>
      </c>
      <c r="B145" s="1">
        <v>9.7569444444444153E-3</v>
      </c>
      <c r="D145" s="1">
        <v>8.4953703703702921E-3</v>
      </c>
      <c r="G145" s="1">
        <f t="shared" si="4"/>
        <v>1.2615740740741233E-3</v>
      </c>
      <c r="I145" s="2">
        <f t="shared" si="5"/>
        <v>1.8166666666667375</v>
      </c>
    </row>
    <row r="146" spans="1:9" x14ac:dyDescent="0.25">
      <c r="A146" s="1" t="s">
        <v>34</v>
      </c>
      <c r="B146" s="1">
        <v>5.4745370370370416E-3</v>
      </c>
      <c r="D146" s="1">
        <v>4.6990740740741055E-3</v>
      </c>
      <c r="G146" s="1">
        <f t="shared" si="4"/>
        <v>7.7546296296293615E-4</v>
      </c>
      <c r="I146" s="2">
        <f t="shared" si="5"/>
        <v>1.1166666666666281</v>
      </c>
    </row>
    <row r="147" spans="1:9" x14ac:dyDescent="0.25">
      <c r="A147" s="1" t="s">
        <v>34</v>
      </c>
      <c r="B147" s="1">
        <v>6.4583333333333437E-3</v>
      </c>
      <c r="D147" s="1">
        <v>4.6412037037036891E-3</v>
      </c>
      <c r="G147" s="1">
        <f t="shared" si="4"/>
        <v>1.8171296296296546E-3</v>
      </c>
      <c r="I147" s="2">
        <f t="shared" si="5"/>
        <v>2.6166666666667027</v>
      </c>
    </row>
    <row r="148" spans="1:9" x14ac:dyDescent="0.25">
      <c r="A148" s="1" t="s">
        <v>34</v>
      </c>
      <c r="B148" s="1">
        <v>6.3657407407406996E-3</v>
      </c>
      <c r="D148" s="1">
        <v>5.1620370370371038E-3</v>
      </c>
      <c r="G148" s="1">
        <f t="shared" si="4"/>
        <v>1.2037037037035958E-3</v>
      </c>
      <c r="I148" s="2">
        <f t="shared" si="5"/>
        <v>1.733333333333178</v>
      </c>
    </row>
    <row r="149" spans="1:9" x14ac:dyDescent="0.25">
      <c r="A149" s="1" t="s">
        <v>34</v>
      </c>
      <c r="B149" s="1">
        <v>4.3055555555554514E-3</v>
      </c>
      <c r="D149" s="1">
        <v>3.5532407407407041E-3</v>
      </c>
      <c r="G149" s="1">
        <f t="shared" si="4"/>
        <v>7.5231481481474738E-4</v>
      </c>
      <c r="I149" s="2">
        <f t="shared" si="5"/>
        <v>1.0833333333332362</v>
      </c>
    </row>
    <row r="150" spans="1:9" x14ac:dyDescent="0.25">
      <c r="A150" s="1" t="s">
        <v>34</v>
      </c>
      <c r="B150" s="1">
        <v>1.2708333333333321E-2</v>
      </c>
      <c r="D150" s="1">
        <v>1.0995370370370461E-2</v>
      </c>
      <c r="G150" s="1">
        <f t="shared" si="4"/>
        <v>1.7129629629628607E-3</v>
      </c>
      <c r="I150" s="2">
        <f t="shared" si="5"/>
        <v>2.4666666666665193</v>
      </c>
    </row>
    <row r="151" spans="1:9" x14ac:dyDescent="0.25">
      <c r="A151" s="1" t="s">
        <v>34</v>
      </c>
      <c r="B151" s="1">
        <v>9.3518518518519445E-3</v>
      </c>
      <c r="D151" s="1">
        <v>7.2800925925926574E-3</v>
      </c>
      <c r="G151" s="1">
        <f t="shared" si="4"/>
        <v>2.0717592592592871E-3</v>
      </c>
      <c r="I151" s="2">
        <f t="shared" si="5"/>
        <v>2.9833333333333734</v>
      </c>
    </row>
    <row r="152" spans="1:9" x14ac:dyDescent="0.25">
      <c r="A152" s="1" t="s">
        <v>34</v>
      </c>
      <c r="B152" s="1">
        <v>1.2407407407407312E-2</v>
      </c>
      <c r="D152" s="1">
        <v>9.0740740740740122E-3</v>
      </c>
      <c r="G152" s="1">
        <f t="shared" si="4"/>
        <v>3.3333333333332993E-3</v>
      </c>
      <c r="I152" s="2">
        <f t="shared" si="5"/>
        <v>4.799999999999951</v>
      </c>
    </row>
    <row r="153" spans="1:9" x14ac:dyDescent="0.25">
      <c r="A153" s="1" t="s">
        <v>34</v>
      </c>
      <c r="B153" s="1">
        <v>1.2407407407407312E-2</v>
      </c>
      <c r="D153" s="1">
        <v>9.3981481481481E-3</v>
      </c>
      <c r="G153" s="1">
        <f t="shared" si="4"/>
        <v>3.0092592592592116E-3</v>
      </c>
      <c r="I153" s="2">
        <f t="shared" si="5"/>
        <v>4.3333333333332646</v>
      </c>
    </row>
    <row r="154" spans="1:9" x14ac:dyDescent="0.25">
      <c r="A154" s="1" t="s">
        <v>34</v>
      </c>
      <c r="B154" s="1">
        <v>1.0474537037037046E-2</v>
      </c>
      <c r="D154" s="1">
        <v>7.8240740740741499E-3</v>
      </c>
      <c r="G154" s="1">
        <f t="shared" si="4"/>
        <v>2.6504629629628962E-3</v>
      </c>
      <c r="I154" s="2">
        <f t="shared" si="5"/>
        <v>3.8166666666665705</v>
      </c>
    </row>
    <row r="155" spans="1:9" x14ac:dyDescent="0.25">
      <c r="A155" s="1" t="s">
        <v>34</v>
      </c>
      <c r="B155" s="1">
        <v>8.3333333333333037E-3</v>
      </c>
      <c r="D155" s="1">
        <v>7.2916666666666963E-3</v>
      </c>
      <c r="G155" s="1">
        <f t="shared" si="4"/>
        <v>1.0416666666666075E-3</v>
      </c>
      <c r="I155" s="2">
        <f t="shared" si="5"/>
        <v>1.4999999999999147</v>
      </c>
    </row>
    <row r="156" spans="1:9" x14ac:dyDescent="0.25">
      <c r="A156" s="1" t="s">
        <v>34</v>
      </c>
      <c r="B156" s="1">
        <v>1.2523148148148144E-2</v>
      </c>
      <c r="D156" s="1">
        <v>7.4768518518518734E-3</v>
      </c>
      <c r="G156" s="1">
        <f t="shared" si="4"/>
        <v>5.046296296296271E-3</v>
      </c>
      <c r="I156" s="2">
        <f t="shared" si="5"/>
        <v>7.2666666666666302</v>
      </c>
    </row>
    <row r="157" spans="1:9" x14ac:dyDescent="0.25">
      <c r="A157" s="1" t="s">
        <v>34</v>
      </c>
      <c r="B157" s="1">
        <v>1.3356481481481497E-2</v>
      </c>
      <c r="D157" s="1">
        <v>1.2407407407407423E-2</v>
      </c>
      <c r="G157" s="1">
        <f t="shared" si="4"/>
        <v>9.490740740740744E-4</v>
      </c>
      <c r="I157" s="2">
        <f t="shared" si="5"/>
        <v>1.3666666666666671</v>
      </c>
    </row>
    <row r="158" spans="1:9" x14ac:dyDescent="0.25">
      <c r="A158" s="1" t="s">
        <v>34</v>
      </c>
      <c r="B158" s="1">
        <v>1.4560185185185204E-2</v>
      </c>
      <c r="D158" s="1">
        <v>8.9467592592592515E-3</v>
      </c>
      <c r="G158" s="1">
        <f t="shared" si="4"/>
        <v>5.6134259259259522E-3</v>
      </c>
      <c r="I158" s="2">
        <f t="shared" si="5"/>
        <v>8.0833333333333712</v>
      </c>
    </row>
    <row r="159" spans="1:9" x14ac:dyDescent="0.25">
      <c r="A159" s="1" t="s">
        <v>34</v>
      </c>
      <c r="B159" s="1">
        <v>1.1192129629629677E-2</v>
      </c>
      <c r="D159" s="1">
        <v>9.6990740740741099E-3</v>
      </c>
      <c r="G159" s="1">
        <f t="shared" si="4"/>
        <v>1.4930555555555669E-3</v>
      </c>
      <c r="I159" s="2">
        <f t="shared" si="5"/>
        <v>2.1500000000000163</v>
      </c>
    </row>
    <row r="160" spans="1:9" x14ac:dyDescent="0.25">
      <c r="A160" s="1" t="s">
        <v>34</v>
      </c>
      <c r="B160" s="1">
        <v>6.1574074074074447E-3</v>
      </c>
      <c r="D160" s="1">
        <v>5.1736111111110872E-3</v>
      </c>
      <c r="G160" s="1">
        <f t="shared" si="4"/>
        <v>9.8379629629635756E-4</v>
      </c>
      <c r="I160" s="2">
        <f t="shared" si="5"/>
        <v>1.4166666666667549</v>
      </c>
    </row>
    <row r="161" spans="1:9" x14ac:dyDescent="0.25">
      <c r="A161" s="1" t="s">
        <v>34</v>
      </c>
      <c r="B161" s="1">
        <v>7.1875000000000133E-3</v>
      </c>
      <c r="D161" s="1">
        <v>5.8680555555555847E-3</v>
      </c>
      <c r="G161" s="1">
        <f t="shared" si="4"/>
        <v>1.3194444444444287E-3</v>
      </c>
      <c r="I161" s="2">
        <f t="shared" si="5"/>
        <v>1.8999999999999773</v>
      </c>
    </row>
    <row r="162" spans="1:9" x14ac:dyDescent="0.25">
      <c r="A162" s="1" t="s">
        <v>34</v>
      </c>
      <c r="B162" s="1">
        <v>8.8078703703703409E-3</v>
      </c>
      <c r="D162" s="1">
        <v>5.335648148148131E-3</v>
      </c>
      <c r="G162" s="1">
        <f t="shared" si="4"/>
        <v>3.4722222222222099E-3</v>
      </c>
      <c r="I162" s="2">
        <f t="shared" si="5"/>
        <v>4.9999999999999822</v>
      </c>
    </row>
    <row r="163" spans="1:9" x14ac:dyDescent="0.25">
      <c r="A163" s="1" t="s">
        <v>34</v>
      </c>
      <c r="B163" s="1">
        <v>3.2499999999999973E-2</v>
      </c>
      <c r="D163" s="1">
        <v>2.9791666666666661E-2</v>
      </c>
      <c r="G163" s="1">
        <f t="shared" si="4"/>
        <v>2.7083333333333126E-3</v>
      </c>
      <c r="I163" s="2">
        <f t="shared" si="5"/>
        <v>3.8999999999999702</v>
      </c>
    </row>
    <row r="164" spans="1:9" x14ac:dyDescent="0.25">
      <c r="A164" s="1" t="s">
        <v>34</v>
      </c>
      <c r="B164" s="1">
        <v>1.3935185185185217E-2</v>
      </c>
      <c r="D164" s="1">
        <v>1.1817129629629664E-2</v>
      </c>
      <c r="G164" s="1">
        <f t="shared" si="4"/>
        <v>2.1180555555555536E-3</v>
      </c>
      <c r="I164" s="2">
        <f t="shared" si="5"/>
        <v>3.0499999999999972</v>
      </c>
    </row>
    <row r="165" spans="1:9" x14ac:dyDescent="0.25">
      <c r="A165" s="1" t="s">
        <v>34</v>
      </c>
      <c r="B165" s="1">
        <v>1.8495370370370412E-2</v>
      </c>
      <c r="D165" s="1">
        <v>1.6087962962962998E-2</v>
      </c>
      <c r="G165" s="1">
        <f t="shared" si="4"/>
        <v>2.4074074074074137E-3</v>
      </c>
      <c r="I165" s="2">
        <f t="shared" si="5"/>
        <v>3.4666666666666757</v>
      </c>
    </row>
    <row r="166" spans="1:9" x14ac:dyDescent="0.25">
      <c r="A166" s="1" t="s">
        <v>34</v>
      </c>
      <c r="B166" s="1">
        <v>1.3807870370370456E-2</v>
      </c>
      <c r="D166" s="1">
        <v>1.0138888888888808E-2</v>
      </c>
      <c r="G166" s="1">
        <f t="shared" si="4"/>
        <v>3.6689814814816479E-3</v>
      </c>
      <c r="I166" s="2">
        <f t="shared" si="5"/>
        <v>5.283333333333573</v>
      </c>
    </row>
    <row r="167" spans="1:9" x14ac:dyDescent="0.25">
      <c r="A167" s="1" t="s">
        <v>34</v>
      </c>
      <c r="B167" s="1">
        <v>1.6562500000000036E-2</v>
      </c>
      <c r="D167" s="1">
        <v>1.5208333333333379E-2</v>
      </c>
      <c r="G167" s="1">
        <f t="shared" si="4"/>
        <v>1.3541666666666563E-3</v>
      </c>
      <c r="I167" s="2">
        <f t="shared" si="5"/>
        <v>1.9499999999999851</v>
      </c>
    </row>
    <row r="168" spans="1:9" x14ac:dyDescent="0.25">
      <c r="A168" s="1" t="s">
        <v>34</v>
      </c>
      <c r="B168" s="1">
        <v>1.4525462962962976E-2</v>
      </c>
      <c r="D168" s="1">
        <v>1.3090277777777826E-2</v>
      </c>
      <c r="G168" s="1">
        <f t="shared" si="4"/>
        <v>1.4351851851851505E-3</v>
      </c>
      <c r="I168" s="2">
        <f t="shared" si="5"/>
        <v>2.0666666666666167</v>
      </c>
    </row>
    <row r="169" spans="1:9" x14ac:dyDescent="0.25">
      <c r="A169" s="1" t="s">
        <v>34</v>
      </c>
      <c r="B169" s="1">
        <v>1.3043981481481448E-2</v>
      </c>
      <c r="D169" s="1">
        <v>1.1747685185185208E-2</v>
      </c>
      <c r="G169" s="1">
        <f t="shared" si="4"/>
        <v>1.2962962962962399E-3</v>
      </c>
      <c r="I169" s="2">
        <f t="shared" si="5"/>
        <v>1.8666666666665854</v>
      </c>
    </row>
    <row r="170" spans="1:9" x14ac:dyDescent="0.25">
      <c r="A170" s="1" t="s">
        <v>34</v>
      </c>
      <c r="B170" s="1">
        <v>2.011574074074074E-2</v>
      </c>
      <c r="D170" s="1">
        <v>1.1122685185185222E-2</v>
      </c>
      <c r="G170" s="1">
        <f t="shared" si="4"/>
        <v>8.9930555555555181E-3</v>
      </c>
      <c r="I170" s="2">
        <f t="shared" si="5"/>
        <v>12.949999999999946</v>
      </c>
    </row>
    <row r="171" spans="1:9" x14ac:dyDescent="0.25">
      <c r="A171" s="1" t="s">
        <v>34</v>
      </c>
      <c r="B171" s="1">
        <v>9.8842592592592871E-3</v>
      </c>
      <c r="D171" s="1">
        <v>8.3680555555555314E-3</v>
      </c>
      <c r="G171" s="1">
        <f t="shared" si="4"/>
        <v>1.5162037037037557E-3</v>
      </c>
      <c r="I171" s="2">
        <f t="shared" si="5"/>
        <v>2.1833333333334082</v>
      </c>
    </row>
    <row r="172" spans="1:9" x14ac:dyDescent="0.25">
      <c r="A172" s="1" t="s">
        <v>690</v>
      </c>
      <c r="B172" s="1">
        <v>3.1354166666666683E-2</v>
      </c>
      <c r="D172" s="1">
        <v>1.6608796296296302E-2</v>
      </c>
      <c r="G172" s="1">
        <f t="shared" si="4"/>
        <v>1.4745370370370381E-2</v>
      </c>
      <c r="I172" s="2">
        <f t="shared" si="5"/>
        <v>21.233333333333348</v>
      </c>
    </row>
    <row r="173" spans="1:9" x14ac:dyDescent="0.25">
      <c r="A173" s="1" t="s">
        <v>690</v>
      </c>
      <c r="B173" s="1">
        <v>3.3078703703703694E-2</v>
      </c>
      <c r="D173" s="1">
        <v>3.1574074074074088E-2</v>
      </c>
      <c r="G173" s="1">
        <f t="shared" si="4"/>
        <v>1.5046296296296058E-3</v>
      </c>
      <c r="I173" s="2">
        <f t="shared" si="5"/>
        <v>2.1666666666666323</v>
      </c>
    </row>
    <row r="174" spans="1:9" x14ac:dyDescent="0.25">
      <c r="A174" s="1" t="s">
        <v>36</v>
      </c>
      <c r="B174" s="1">
        <v>1.446759259259256E-2</v>
      </c>
      <c r="D174" s="1">
        <v>1.1354166666666665E-2</v>
      </c>
      <c r="G174" s="1">
        <f t="shared" si="4"/>
        <v>3.1134259259258945E-3</v>
      </c>
      <c r="I174" s="2">
        <f t="shared" si="5"/>
        <v>4.4833333333332881</v>
      </c>
    </row>
    <row r="175" spans="1:9" x14ac:dyDescent="0.25">
      <c r="A175" s="1" t="s">
        <v>690</v>
      </c>
      <c r="B175" s="1">
        <v>2.1412037037036979E-2</v>
      </c>
      <c r="D175" s="1">
        <v>1.9560185185185208E-2</v>
      </c>
      <c r="G175" s="1">
        <f t="shared" si="4"/>
        <v>1.8518518518517713E-3</v>
      </c>
      <c r="I175" s="2">
        <f t="shared" si="5"/>
        <v>2.6666666666665506</v>
      </c>
    </row>
    <row r="176" spans="1:9" x14ac:dyDescent="0.25">
      <c r="A176" s="1" t="s">
        <v>36</v>
      </c>
      <c r="B176" s="1">
        <v>2.0659722222222232E-2</v>
      </c>
      <c r="D176" s="1">
        <v>1.1400462962963043E-2</v>
      </c>
      <c r="G176" s="1">
        <f t="shared" si="4"/>
        <v>9.2592592592591894E-3</v>
      </c>
      <c r="I176" s="2">
        <f t="shared" si="5"/>
        <v>13.333333333333233</v>
      </c>
    </row>
    <row r="177" spans="1:9" x14ac:dyDescent="0.25">
      <c r="A177" s="1" t="s">
        <v>36</v>
      </c>
      <c r="B177" s="1">
        <v>1.1666666666666714E-2</v>
      </c>
      <c r="D177" s="1">
        <v>1.0451388888888857E-2</v>
      </c>
      <c r="G177" s="1">
        <f t="shared" si="4"/>
        <v>1.2152777777778567E-3</v>
      </c>
      <c r="I177" s="2">
        <f t="shared" si="5"/>
        <v>1.7500000000001137</v>
      </c>
    </row>
    <row r="178" spans="1:9" x14ac:dyDescent="0.25">
      <c r="A178" s="1" t="s">
        <v>36</v>
      </c>
      <c r="B178" s="1">
        <v>2.2372685185185204E-2</v>
      </c>
      <c r="D178" s="1">
        <v>2.0798611111111032E-2</v>
      </c>
      <c r="G178" s="1">
        <f t="shared" si="4"/>
        <v>1.5740740740741721E-3</v>
      </c>
      <c r="I178" s="2">
        <f t="shared" si="5"/>
        <v>2.2666666666668078</v>
      </c>
    </row>
    <row r="179" spans="1:9" x14ac:dyDescent="0.25">
      <c r="A179" s="1" t="s">
        <v>36</v>
      </c>
      <c r="B179" s="1">
        <v>1.5104166666666696E-2</v>
      </c>
      <c r="D179" s="1">
        <v>8.1828703703703543E-3</v>
      </c>
      <c r="G179" s="1">
        <f t="shared" si="4"/>
        <v>6.921296296296342E-3</v>
      </c>
      <c r="I179" s="2">
        <f t="shared" si="5"/>
        <v>9.9666666666667325</v>
      </c>
    </row>
    <row r="180" spans="1:9" x14ac:dyDescent="0.25">
      <c r="A180" s="1" t="s">
        <v>36</v>
      </c>
      <c r="B180" s="1">
        <v>1.6851851851851896E-2</v>
      </c>
      <c r="D180" s="1">
        <v>1.271990740740736E-2</v>
      </c>
      <c r="G180" s="1">
        <f t="shared" si="4"/>
        <v>4.1319444444445352E-3</v>
      </c>
      <c r="I180" s="2">
        <f t="shared" si="5"/>
        <v>5.9500000000001307</v>
      </c>
    </row>
    <row r="181" spans="1:9" x14ac:dyDescent="0.25">
      <c r="A181" s="1" t="s">
        <v>36</v>
      </c>
      <c r="B181" s="1">
        <v>7.5231481481481399E-3</v>
      </c>
      <c r="D181" s="1">
        <v>6.4930555555554603E-3</v>
      </c>
      <c r="G181" s="1">
        <f t="shared" si="4"/>
        <v>1.0300925925926796E-3</v>
      </c>
      <c r="I181" s="2">
        <f t="shared" si="5"/>
        <v>1.4833333333334586</v>
      </c>
    </row>
    <row r="182" spans="1:9" x14ac:dyDescent="0.25">
      <c r="A182" s="1" t="s">
        <v>36</v>
      </c>
      <c r="B182" s="1">
        <v>1.7199074074074172E-2</v>
      </c>
      <c r="D182" s="1">
        <v>1.3599537037036979E-2</v>
      </c>
      <c r="G182" s="1">
        <f t="shared" si="4"/>
        <v>3.5995370370371926E-3</v>
      </c>
      <c r="I182" s="2">
        <f t="shared" si="5"/>
        <v>5.1833333333335574</v>
      </c>
    </row>
    <row r="183" spans="1:9" x14ac:dyDescent="0.25">
      <c r="A183" s="1" t="s">
        <v>36</v>
      </c>
      <c r="B183" s="1">
        <v>9.3865740740740611E-3</v>
      </c>
      <c r="D183" s="1">
        <v>8.0324074074074048E-3</v>
      </c>
      <c r="G183" s="1">
        <f t="shared" si="4"/>
        <v>1.3541666666666563E-3</v>
      </c>
      <c r="I183" s="2">
        <f t="shared" si="5"/>
        <v>1.9499999999999851</v>
      </c>
    </row>
    <row r="184" spans="1:9" x14ac:dyDescent="0.25">
      <c r="A184" s="1" t="s">
        <v>36</v>
      </c>
      <c r="B184" s="1">
        <v>1.0555555555555651E-2</v>
      </c>
      <c r="D184" s="1">
        <v>7.8356481481481888E-3</v>
      </c>
      <c r="G184" s="1">
        <f t="shared" si="4"/>
        <v>2.7199074074074625E-3</v>
      </c>
      <c r="I184" s="2">
        <f t="shared" si="5"/>
        <v>3.916666666666746</v>
      </c>
    </row>
    <row r="185" spans="1:9" x14ac:dyDescent="0.25">
      <c r="A185" s="1" t="s">
        <v>36</v>
      </c>
      <c r="B185" s="1">
        <v>2.3078703703703685E-2</v>
      </c>
      <c r="D185" s="1">
        <v>2.1736111111111178E-2</v>
      </c>
      <c r="G185" s="1">
        <f t="shared" si="4"/>
        <v>1.3425925925925064E-3</v>
      </c>
      <c r="I185" s="2">
        <f t="shared" si="5"/>
        <v>1.9333333333332092</v>
      </c>
    </row>
    <row r="186" spans="1:9" x14ac:dyDescent="0.25">
      <c r="A186" s="1" t="s">
        <v>36</v>
      </c>
      <c r="B186" s="1">
        <v>2.4143518518518592E-2</v>
      </c>
      <c r="D186" s="1">
        <v>2.19907407407407E-2</v>
      </c>
      <c r="G186" s="1">
        <f t="shared" si="4"/>
        <v>2.1527777777778923E-3</v>
      </c>
      <c r="I186" s="2">
        <f t="shared" si="5"/>
        <v>3.1000000000001648</v>
      </c>
    </row>
    <row r="187" spans="1:9" x14ac:dyDescent="0.25">
      <c r="A187" s="1" t="s">
        <v>36</v>
      </c>
      <c r="B187" s="1">
        <v>9.1435185185185786E-3</v>
      </c>
      <c r="D187" s="1">
        <v>7.3842592592592293E-3</v>
      </c>
      <c r="G187" s="1">
        <f t="shared" si="4"/>
        <v>1.7592592592593492E-3</v>
      </c>
      <c r="I187" s="2">
        <f t="shared" si="5"/>
        <v>2.5333333333334629</v>
      </c>
    </row>
    <row r="188" spans="1:9" x14ac:dyDescent="0.25">
      <c r="A188" s="1" t="s">
        <v>36</v>
      </c>
      <c r="B188" s="1">
        <v>1.1770833333333286E-2</v>
      </c>
      <c r="D188" s="1">
        <v>1.055555555555554E-2</v>
      </c>
      <c r="G188" s="1">
        <f t="shared" si="4"/>
        <v>1.2152777777777457E-3</v>
      </c>
      <c r="I188" s="2">
        <f t="shared" si="5"/>
        <v>1.7499999999999538</v>
      </c>
    </row>
    <row r="189" spans="1:9" x14ac:dyDescent="0.25">
      <c r="A189" s="1" t="s">
        <v>36</v>
      </c>
      <c r="B189" s="1">
        <v>2.3611111111111027E-2</v>
      </c>
      <c r="D189" s="1">
        <v>1.3333333333333308E-2</v>
      </c>
      <c r="G189" s="1">
        <f t="shared" si="4"/>
        <v>1.0277777777777719E-2</v>
      </c>
      <c r="I189" s="2">
        <f t="shared" si="5"/>
        <v>14.799999999999915</v>
      </c>
    </row>
    <row r="190" spans="1:9" x14ac:dyDescent="0.25">
      <c r="A190" s="1" t="s">
        <v>36</v>
      </c>
      <c r="B190" s="1">
        <v>2.0428240740740788E-2</v>
      </c>
      <c r="D190" s="1">
        <v>1.7743055555555554E-2</v>
      </c>
      <c r="G190" s="1">
        <f t="shared" si="4"/>
        <v>2.6851851851852349E-3</v>
      </c>
      <c r="I190" s="2">
        <f t="shared" si="5"/>
        <v>3.8666666666667382</v>
      </c>
    </row>
    <row r="191" spans="1:9" x14ac:dyDescent="0.25">
      <c r="A191" s="1" t="s">
        <v>36</v>
      </c>
      <c r="B191" s="1">
        <v>1.1817129629629664E-2</v>
      </c>
      <c r="D191" s="1">
        <v>7.9513888888889106E-3</v>
      </c>
      <c r="G191" s="1">
        <f t="shared" si="4"/>
        <v>3.8657407407407529E-3</v>
      </c>
      <c r="I191" s="2">
        <f t="shared" si="5"/>
        <v>5.5666666666666842</v>
      </c>
    </row>
    <row r="192" spans="1:9" x14ac:dyDescent="0.25">
      <c r="A192" s="1" t="s">
        <v>36</v>
      </c>
      <c r="B192" s="1">
        <v>1.7083333333333339E-2</v>
      </c>
      <c r="D192" s="1">
        <v>1.5717592592592589E-2</v>
      </c>
      <c r="G192" s="1">
        <f t="shared" si="4"/>
        <v>1.3657407407407507E-3</v>
      </c>
      <c r="I192" s="2">
        <f t="shared" si="5"/>
        <v>1.966666666666681</v>
      </c>
    </row>
    <row r="193" spans="1:9" x14ac:dyDescent="0.25">
      <c r="A193" s="1" t="s">
        <v>36</v>
      </c>
      <c r="B193" s="1">
        <v>3.943287037037041E-2</v>
      </c>
      <c r="D193" s="1">
        <v>1.9930555555555562E-2</v>
      </c>
      <c r="G193" s="1">
        <f t="shared" si="4"/>
        <v>1.9502314814814847E-2</v>
      </c>
      <c r="I193" s="2">
        <f t="shared" si="5"/>
        <v>28.083333333333378</v>
      </c>
    </row>
    <row r="194" spans="1:9" x14ac:dyDescent="0.25">
      <c r="A194" s="1" t="s">
        <v>36</v>
      </c>
      <c r="B194" s="1">
        <v>7.0138888888888751E-3</v>
      </c>
      <c r="D194" s="1">
        <v>5.9837962962963065E-3</v>
      </c>
      <c r="G194" s="1">
        <f t="shared" si="4"/>
        <v>1.0300925925925686E-3</v>
      </c>
      <c r="I194" s="2">
        <f t="shared" si="5"/>
        <v>1.4833333333332988</v>
      </c>
    </row>
    <row r="195" spans="1:9" x14ac:dyDescent="0.25">
      <c r="A195" s="1" t="s">
        <v>36</v>
      </c>
      <c r="B195" s="1">
        <v>1.0578703703703729E-2</v>
      </c>
      <c r="D195" s="1">
        <v>9.2592592592593004E-3</v>
      </c>
      <c r="G195" s="1">
        <f t="shared" ref="G195:G206" si="6">B195-D195</f>
        <v>1.3194444444444287E-3</v>
      </c>
      <c r="I195" s="2">
        <f t="shared" ref="I195:I206" si="7">G195*1440</f>
        <v>1.8999999999999773</v>
      </c>
    </row>
    <row r="196" spans="1:9" x14ac:dyDescent="0.25">
      <c r="A196" s="1" t="s">
        <v>36</v>
      </c>
      <c r="B196" s="1">
        <v>1.4444444444444482E-2</v>
      </c>
      <c r="D196" s="1">
        <v>1.0682870370370301E-2</v>
      </c>
      <c r="G196" s="1">
        <f t="shared" si="6"/>
        <v>3.761574074074181E-3</v>
      </c>
      <c r="I196" s="2">
        <f t="shared" si="7"/>
        <v>5.4166666666668206</v>
      </c>
    </row>
    <row r="197" spans="1:9" x14ac:dyDescent="0.25">
      <c r="A197" s="1" t="s">
        <v>36</v>
      </c>
      <c r="B197" s="1">
        <v>1.7962962962962958E-2</v>
      </c>
      <c r="D197" s="1">
        <v>1.2928240740740726E-2</v>
      </c>
      <c r="G197" s="1">
        <f t="shared" si="6"/>
        <v>5.0347222222222321E-3</v>
      </c>
      <c r="I197" s="2">
        <f t="shared" si="7"/>
        <v>7.2500000000000142</v>
      </c>
    </row>
    <row r="198" spans="1:9" x14ac:dyDescent="0.25">
      <c r="A198" s="1" t="s">
        <v>36</v>
      </c>
      <c r="B198" s="1">
        <v>2.5613425925925914E-2</v>
      </c>
      <c r="D198" s="1">
        <v>2.4212962962962936E-2</v>
      </c>
      <c r="G198" s="1">
        <f t="shared" si="6"/>
        <v>1.4004629629629783E-3</v>
      </c>
      <c r="I198" s="2">
        <f t="shared" si="7"/>
        <v>2.0166666666666888</v>
      </c>
    </row>
    <row r="199" spans="1:9" x14ac:dyDescent="0.25">
      <c r="A199" s="1" t="s">
        <v>36</v>
      </c>
      <c r="B199" s="1">
        <v>7.8472222222222276E-3</v>
      </c>
      <c r="D199" s="1">
        <v>6.5740740740740655E-3</v>
      </c>
      <c r="G199" s="1">
        <f t="shared" si="6"/>
        <v>1.2731481481481621E-3</v>
      </c>
      <c r="I199" s="2">
        <f t="shared" si="7"/>
        <v>1.8333333333333535</v>
      </c>
    </row>
    <row r="200" spans="1:9" x14ac:dyDescent="0.25">
      <c r="A200" s="1" t="s">
        <v>36</v>
      </c>
      <c r="B200" s="1">
        <v>1.2916666666666687E-2</v>
      </c>
      <c r="D200" s="1">
        <v>8.6226851851851638E-3</v>
      </c>
      <c r="G200" s="1">
        <f t="shared" si="6"/>
        <v>4.2939814814815236E-3</v>
      </c>
      <c r="I200" s="2">
        <f t="shared" si="7"/>
        <v>6.183333333333394</v>
      </c>
    </row>
    <row r="201" spans="1:9" x14ac:dyDescent="0.25">
      <c r="A201" s="1" t="s">
        <v>36</v>
      </c>
      <c r="B201" s="1">
        <v>1.0740740740740717E-2</v>
      </c>
      <c r="D201" s="1">
        <v>8.6921296296296191E-3</v>
      </c>
      <c r="G201" s="1">
        <f t="shared" si="6"/>
        <v>2.0486111111110983E-3</v>
      </c>
      <c r="I201" s="2">
        <f t="shared" si="7"/>
        <v>2.9499999999999815</v>
      </c>
    </row>
    <row r="202" spans="1:9" x14ac:dyDescent="0.25">
      <c r="A202" s="1" t="s">
        <v>36</v>
      </c>
      <c r="B202" s="1">
        <v>2.8263888888888866E-2</v>
      </c>
      <c r="D202" s="1">
        <v>1.5034722222222241E-2</v>
      </c>
      <c r="G202" s="1">
        <f t="shared" si="6"/>
        <v>1.3229166666666625E-2</v>
      </c>
      <c r="I202" s="2">
        <f t="shared" si="7"/>
        <v>19.04999999999994</v>
      </c>
    </row>
    <row r="203" spans="1:9" x14ac:dyDescent="0.25">
      <c r="A203" s="1" t="s">
        <v>36</v>
      </c>
      <c r="B203" s="1">
        <v>1.8425925925925846E-2</v>
      </c>
      <c r="D203" s="1">
        <v>1.4363425925925877E-2</v>
      </c>
      <c r="G203" s="1">
        <f t="shared" si="6"/>
        <v>4.0624999999999689E-3</v>
      </c>
      <c r="I203" s="2">
        <f t="shared" si="7"/>
        <v>5.8499999999999552</v>
      </c>
    </row>
    <row r="204" spans="1:9" x14ac:dyDescent="0.25">
      <c r="A204" s="1" t="s">
        <v>36</v>
      </c>
      <c r="B204" s="1">
        <v>1.3923611111111067E-2</v>
      </c>
      <c r="D204" s="1">
        <v>9.6180555555555047E-3</v>
      </c>
      <c r="G204" s="1">
        <f t="shared" si="6"/>
        <v>4.3055555555555625E-3</v>
      </c>
      <c r="I204" s="2">
        <f t="shared" si="7"/>
        <v>6.2000000000000099</v>
      </c>
    </row>
    <row r="205" spans="1:9" x14ac:dyDescent="0.25">
      <c r="A205" s="1" t="s">
        <v>36</v>
      </c>
      <c r="B205" s="1">
        <v>1.0486111111111196E-2</v>
      </c>
      <c r="D205" s="1">
        <v>7.4074074074074181E-3</v>
      </c>
      <c r="G205" s="1">
        <f t="shared" si="6"/>
        <v>3.0787037037037779E-3</v>
      </c>
      <c r="I205" s="2">
        <f t="shared" si="7"/>
        <v>4.4333333333334402</v>
      </c>
    </row>
    <row r="206" spans="1:9" x14ac:dyDescent="0.25">
      <c r="A206" s="1" t="s">
        <v>36</v>
      </c>
      <c r="B206" s="1">
        <v>1.0810185185185173E-2</v>
      </c>
      <c r="D206" s="1">
        <v>9.1666666666666563E-3</v>
      </c>
      <c r="G206" s="1">
        <f t="shared" si="6"/>
        <v>1.6435185185185164E-3</v>
      </c>
      <c r="I206" s="2">
        <f t="shared" si="7"/>
        <v>2.3666666666666636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inter arrival time</vt:lpstr>
      <vt:lpstr>Service Time</vt:lpstr>
      <vt:lpstr>Total Process Time</vt:lpstr>
      <vt:lpstr>Sheet4</vt:lpstr>
      <vt:lpstr>USA</vt:lpstr>
      <vt:lpstr>Korea</vt:lpstr>
      <vt:lpstr>Japan</vt:lpstr>
      <vt:lpstr>Germany</vt:lpstr>
      <vt:lpstr>Sedan</vt:lpstr>
      <vt:lpstr>SUV</vt:lpstr>
      <vt:lpstr>Trucks</vt:lpstr>
      <vt:lpstr>BAY Time</vt:lpstr>
      <vt:lpstr>NON Value Added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R.H. Sarker</dc:creator>
  <cp:lastModifiedBy>Rakibul Hasan Sarker</cp:lastModifiedBy>
  <dcterms:created xsi:type="dcterms:W3CDTF">2015-06-05T18:17:20Z</dcterms:created>
  <dcterms:modified xsi:type="dcterms:W3CDTF">2026-03-03T16:58:16Z</dcterms:modified>
</cp:coreProperties>
</file>